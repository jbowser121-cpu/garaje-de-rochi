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04FC1B6-97C2-4F4D-8F41-5E4F5A405AFF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B6" i="2" s="1"/>
  <c r="G6" i="1"/>
  <c r="G5" i="1"/>
  <c r="B5" i="2" s="1"/>
  <c r="B7" i="2" l="1"/>
  <c r="B4" i="2"/>
</calcChain>
</file>

<file path=xl/sharedStrings.xml><?xml version="1.0" encoding="utf-8"?>
<sst xmlns="http://schemas.openxmlformats.org/spreadsheetml/2006/main" count="200" uniqueCount="120">
  <si>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</si>
  <si>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</si>
  <si>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</si>
  <si>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</si>
  <si>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</si>
  <si>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</si>
  <si>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</si>
  <si>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</si>
  <si>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</si>
  <si>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</si>
  <si>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Carlyle Panax Ginseng + Ginkgo Biloba 5.000 mg (120 cápsulas)</t>
  </si>
  <si>
    <t>Carlyle</t>
  </si>
  <si>
    <t>Suplementos</t>
  </si>
  <si>
    <t>SI</t>
  </si>
  <si>
    <t>SUP-GINSENG-120</t>
  </si>
  <si>
    <t>Feel Good Berberina Fitosoma de alta absorción (120 cápsulas veganas)</t>
  </si>
  <si>
    <t>Feel Good Company</t>
  </si>
  <si>
    <t>SUP-BERBER-FG120</t>
  </si>
  <si>
    <t>Force Factor Ultra Berberina 1200 mg (60 cápsulas)</t>
  </si>
  <si>
    <t>Force Factor</t>
  </si>
  <si>
    <t>SUP-BERBER-60</t>
  </si>
  <si>
    <t>Kirkland B-12 5000 mcg Disolución Rápida (300 tabletas)</t>
  </si>
  <si>
    <t>Kirkland Signature</t>
  </si>
  <si>
    <t>Vitaminas &amp; Minerales</t>
  </si>
  <si>
    <t>VM-B12-300</t>
  </si>
  <si>
    <t>Kirkland Calcio 600 mg con Vitamina D3 (500 tabletas)</t>
  </si>
  <si>
    <t>VM-CALCIO-500</t>
  </si>
  <si>
    <t>Kirkland Glucosamina y Condroitina (280 tabletas)</t>
  </si>
  <si>
    <t>SUP-GLUCO-280</t>
  </si>
  <si>
    <t>Kirkland Minoxidil 5% para hombres (tubo 60 mL)</t>
  </si>
  <si>
    <t>Cuidado Personal</t>
  </si>
  <si>
    <t>CP-MINOXIDIL</t>
  </si>
  <si>
    <t>Kirkland Omega-3 Aceite de Pescado 1000 mg (400 softgels)</t>
  </si>
  <si>
    <t>SUP-FISHOIL-400</t>
  </si>
  <si>
    <t>Kirkland Super B-Complex con Electrolitos (500 tabletas)</t>
  </si>
  <si>
    <t>VM-SUPERB-500</t>
  </si>
  <si>
    <t>Kirkland Vitamina C Masticable 500 mg (500 tabletas)</t>
  </si>
  <si>
    <t>VM-VITC-500</t>
  </si>
  <si>
    <t>Kirkland Vitamina E 180 mg (500 softgels)</t>
  </si>
  <si>
    <t>VM-VITE-500</t>
  </si>
  <si>
    <t>Natrol Melatonina 5 mg Disolución Rápida (250 tabletas)</t>
  </si>
  <si>
    <t>Natrol</t>
  </si>
  <si>
    <t>SUP-MELA-250</t>
  </si>
  <si>
    <t>Nature Made CoQ10 200 mg (140 softgels)</t>
  </si>
  <si>
    <t>Nature Made</t>
  </si>
  <si>
    <t>SUP-COQ10-140</t>
  </si>
  <si>
    <t>Nature Made Magnesio Citrato 250 mg (180 softgels)</t>
  </si>
  <si>
    <t>VM-MAGCIT-180</t>
  </si>
  <si>
    <t>Nature Made Magnesio Glicinato 100 mg (90 gomitas)</t>
  </si>
  <si>
    <t>VM-MAGGUM-90</t>
  </si>
  <si>
    <t>Nature Made Prenatal Ácido Fólico + DHA (150 softgels)</t>
  </si>
  <si>
    <t>VM-PRENATAL-150</t>
  </si>
  <si>
    <t>Nature Made Vitamina C Extra Fuerte 1000 mg (365 tabletas)</t>
  </si>
  <si>
    <t>VM-VITC-XS-365</t>
  </si>
  <si>
    <t>Nature Made Vitamina D3 25 mcg (650 softgels)</t>
  </si>
  <si>
    <t>VM-VITD3-650</t>
  </si>
  <si>
    <t>Nature's Bounty Hair, Skin &amp; Nails (250 softgels)</t>
  </si>
  <si>
    <t>Nature's Bounty</t>
  </si>
  <si>
    <t>CP-HSN-250</t>
  </si>
  <si>
    <t>Nature's Bounty Hair, Skin &amp; Nails Advanced (230 gomitas)</t>
  </si>
  <si>
    <t>CP-HSN-ADV-230</t>
  </si>
  <si>
    <t>Nature's Bounty Magnesio Glicinato 240 mg (180 cápsulas)</t>
  </si>
  <si>
    <t>VM-MAGGLY-180</t>
  </si>
  <si>
    <t>Nature's Truth Vinagre de Manzana Orgánico 500 mg (120 gomitas)</t>
  </si>
  <si>
    <t>Nature's Truth</t>
  </si>
  <si>
    <t>SUP-ACV-120</t>
  </si>
  <si>
    <t>Nutricost Selenio 200 mcg (240 cápsulas)</t>
  </si>
  <si>
    <t>Nutricost</t>
  </si>
  <si>
    <t>VM-SELENIO-240</t>
  </si>
  <si>
    <t>Orgain Creatina Monohidratada Micronizada sin sabor (675 g)</t>
  </si>
  <si>
    <t>Orgain</t>
  </si>
  <si>
    <t>SUP-CREATINA-675</t>
  </si>
  <si>
    <t>trunature Probiótico Digestivo Avanzado (100 cápsulas)</t>
  </si>
  <si>
    <t>trunature</t>
  </si>
  <si>
    <t>SUP-PROBIO-100</t>
  </si>
  <si>
    <t>trunature Resveratrol Plus (140 cápsulas)</t>
  </si>
  <si>
    <t>SUP-RESV-140</t>
  </si>
  <si>
    <t>Vitamina E 1000 UI para salud del corazón (60 cápsulas)</t>
  </si>
  <si>
    <t>VM-VITE1000-60</t>
  </si>
  <si>
    <t>youtheory Ashwagandha (180 gomitas, frutos rojos)</t>
  </si>
  <si>
    <t>youtheory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</si>
  <si>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</si>
  <si>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</si>
  <si>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</si>
  <si>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</si>
  <si>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</si>
  <si>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youtheory Daily Fat Burner (130 cápsulas)</t>
  </si>
  <si>
    <t>SUP-FATBURN-130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</si>
  <si>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</si>
  <si>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</si>
  <si>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</si>
  <si>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</si>
  <si>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</si>
  <si>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</si>
  <si>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</si>
  <si>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</si>
  <si>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</si>
  <si>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29/10/2026, 9:44:02 a.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</si>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</sst>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5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E19" sqref="E19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25.5" x14ac:dyDescent="0.25">
      <c r="A5" s="3" t="s">
        <v>10</v>
      </c>
      <c r="B5" s="4" t="s">
        <v>11</v>
      </c>
      <c r="C5" s="4" t="s">
        <v>12</v>
      </c>
      <c r="D5" s="5">
        <v>120000</v>
      </c>
      <c r="E5" s="6">
        <v>2</v>
      </c>
      <c r="F5" s="7" t="s">
        <v>13</v>
      </c>
      <c r="G5" s="8" t="str">
        <f t="shared" ref="G5:G35" si="0">IF(F5="NO","Oculto",IF(E5&lt;=0,"AGOTADO",IF(E5&lt;=5,"Últimas unidades","Disponible")))</f>
        <v>Últimas unidades</v>
      </c>
      <c r="H5" s="9" t="s">
        <v>14</v>
      </c>
    </row>
    <row r="6" spans="1:8" s="2" customFormat="1" ht="25.5" x14ac:dyDescent="0.25">
      <c r="A6" s="10" t="s">
        <v>15</v>
      </c>
      <c r="B6" s="2" t="s">
        <v>16</v>
      </c>
      <c r="C6" s="2" t="s">
        <v>12</v>
      </c>
      <c r="D6" s="5">
        <v>160000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19</v>
      </c>
      <c r="C7" s="4" t="s">
        <v>12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23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24</v>
      </c>
    </row>
    <row r="9" spans="1:8" s="2" customFormat="1" ht="12.75" x14ac:dyDescent="0.25">
      <c r="A9" s="3" t="s">
        <v>25</v>
      </c>
      <c r="B9" s="4" t="s">
        <v>22</v>
      </c>
      <c r="C9" s="4" t="s">
        <v>23</v>
      </c>
      <c r="D9" s="5">
        <v>110000</v>
      </c>
      <c r="E9" s="6">
        <v>2</v>
      </c>
      <c r="F9" s="7" t="s">
        <v>13</v>
      </c>
      <c r="G9" s="8" t="str">
        <f t="shared" si="0"/>
        <v>Últimas unidades</v>
      </c>
      <c r="H9" s="9" t="s">
        <v>26</v>
      </c>
    </row>
    <row r="10" spans="1:8" s="2" customFormat="1" ht="12.75" x14ac:dyDescent="0.25">
      <c r="A10" s="10" t="s">
        <v>27</v>
      </c>
      <c r="B10" s="2" t="s">
        <v>22</v>
      </c>
      <c r="C10" s="2" t="s">
        <v>12</v>
      </c>
      <c r="D10" s="5">
        <v>160000</v>
      </c>
      <c r="E10" s="6">
        <v>1</v>
      </c>
      <c r="F10" s="7" t="s">
        <v>13</v>
      </c>
      <c r="G10" s="8" t="str">
        <f t="shared" si="0"/>
        <v>Últimas unidades</v>
      </c>
      <c r="H10" s="9" t="s">
        <v>28</v>
      </c>
    </row>
    <row r="11" spans="1:8" s="2" customFormat="1" ht="12.75" x14ac:dyDescent="0.25">
      <c r="A11" s="3" t="s">
        <v>29</v>
      </c>
      <c r="B11" s="4" t="s">
        <v>22</v>
      </c>
      <c r="C11" s="4" t="s">
        <v>30</v>
      </c>
      <c r="D11" s="5">
        <v>60000</v>
      </c>
      <c r="E11" s="6">
        <v>10</v>
      </c>
      <c r="F11" s="7" t="s">
        <v>13</v>
      </c>
      <c r="G11" s="8" t="str">
        <f t="shared" si="0"/>
        <v>Disponible</v>
      </c>
      <c r="H11" s="9" t="s">
        <v>31</v>
      </c>
    </row>
    <row r="12" spans="1:8" s="2" customFormat="1" ht="25.5" x14ac:dyDescent="0.25">
      <c r="A12" s="10" t="s">
        <v>32</v>
      </c>
      <c r="B12" s="2" t="s">
        <v>22</v>
      </c>
      <c r="C12" s="2" t="s">
        <v>12</v>
      </c>
      <c r="D12" s="5">
        <v>130000</v>
      </c>
      <c r="E12" s="6">
        <v>4</v>
      </c>
      <c r="F12" s="7" t="s">
        <v>13</v>
      </c>
      <c r="G12" s="8" t="str">
        <f t="shared" si="0"/>
        <v>Últimas unidades</v>
      </c>
      <c r="H12" s="9" t="s">
        <v>33</v>
      </c>
    </row>
    <row r="13" spans="1:8" s="2" customFormat="1" ht="12.75" x14ac:dyDescent="0.25">
      <c r="A13" s="3" t="s">
        <v>34</v>
      </c>
      <c r="B13" s="4" t="s">
        <v>22</v>
      </c>
      <c r="C13" s="4" t="s">
        <v>23</v>
      </c>
      <c r="D13" s="5">
        <v>130000</v>
      </c>
      <c r="E13" s="6">
        <v>1</v>
      </c>
      <c r="F13" s="7" t="s">
        <v>13</v>
      </c>
      <c r="G13" s="8" t="str">
        <f t="shared" si="0"/>
        <v>Últimas unidades</v>
      </c>
      <c r="H13" s="9" t="s">
        <v>35</v>
      </c>
    </row>
    <row r="14" spans="1:8" s="2" customFormat="1" ht="12.75" x14ac:dyDescent="0.25">
      <c r="A14" s="10" t="s">
        <v>36</v>
      </c>
      <c r="B14" s="2" t="s">
        <v>22</v>
      </c>
      <c r="C14" s="2" t="s">
        <v>23</v>
      </c>
      <c r="D14" s="5">
        <v>130000</v>
      </c>
      <c r="E14" s="6">
        <v>1</v>
      </c>
      <c r="F14" s="7" t="s">
        <v>13</v>
      </c>
      <c r="G14" s="8" t="str">
        <f t="shared" si="0"/>
        <v>Últimas unidades</v>
      </c>
      <c r="H14" s="9" t="s">
        <v>37</v>
      </c>
    </row>
    <row r="15" spans="1:8" s="2" customFormat="1" ht="12.75" x14ac:dyDescent="0.25">
      <c r="A15" s="3" t="s">
        <v>38</v>
      </c>
      <c r="B15" s="4" t="s">
        <v>22</v>
      </c>
      <c r="C15" s="4" t="s">
        <v>23</v>
      </c>
      <c r="D15" s="5">
        <v>120000</v>
      </c>
      <c r="E15" s="6">
        <v>4</v>
      </c>
      <c r="F15" s="7" t="s">
        <v>13</v>
      </c>
      <c r="G15" s="8" t="str">
        <f t="shared" si="0"/>
        <v>Últimas unidades</v>
      </c>
      <c r="H15" s="9" t="s">
        <v>39</v>
      </c>
    </row>
    <row r="16" spans="1:8" s="2" customFormat="1" ht="12.75" x14ac:dyDescent="0.25">
      <c r="A16" s="10" t="s">
        <v>40</v>
      </c>
      <c r="B16" s="2" t="s">
        <v>41</v>
      </c>
      <c r="C16" s="2" t="s">
        <v>12</v>
      </c>
      <c r="D16" s="5">
        <v>140000</v>
      </c>
      <c r="E16" s="6">
        <v>3</v>
      </c>
      <c r="F16" s="7" t="s">
        <v>13</v>
      </c>
      <c r="G16" s="8" t="str">
        <f t="shared" si="0"/>
        <v>Últimas unidades</v>
      </c>
      <c r="H16" s="9" t="s">
        <v>42</v>
      </c>
    </row>
    <row r="17" spans="1:8" s="2" customFormat="1" ht="12.75" x14ac:dyDescent="0.25">
      <c r="A17" s="3" t="s">
        <v>43</v>
      </c>
      <c r="B17" s="4" t="s">
        <v>44</v>
      </c>
      <c r="C17" s="4" t="s">
        <v>12</v>
      </c>
      <c r="D17" s="5">
        <v>260000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45</v>
      </c>
    </row>
    <row r="18" spans="1:8" s="2" customFormat="1" ht="12.75" x14ac:dyDescent="0.25">
      <c r="A18" s="10" t="s">
        <v>46</v>
      </c>
      <c r="B18" s="2" t="s">
        <v>44</v>
      </c>
      <c r="C18" s="2" t="s">
        <v>23</v>
      </c>
      <c r="D18" s="5">
        <v>170000</v>
      </c>
      <c r="E18" s="6">
        <v>2</v>
      </c>
      <c r="F18" s="7" t="s">
        <v>13</v>
      </c>
      <c r="G18" s="8" t="str">
        <f t="shared" si="0"/>
        <v>Últimas unidades</v>
      </c>
      <c r="H18" s="9" t="s">
        <v>47</v>
      </c>
    </row>
    <row r="19" spans="1:8" s="2" customFormat="1" ht="12.75" x14ac:dyDescent="0.25">
      <c r="A19" s="3" t="s">
        <v>48</v>
      </c>
      <c r="B19" s="4" t="s">
        <v>44</v>
      </c>
      <c r="C19" s="4" t="s">
        <v>23</v>
      </c>
      <c r="D19" s="5">
        <v>130000</v>
      </c>
      <c r="E19" s="6">
        <v>2</v>
      </c>
      <c r="F19" s="7" t="s">
        <v>13</v>
      </c>
      <c r="G19" s="8" t="str">
        <f t="shared" si="0"/>
        <v>Últimas unidades</v>
      </c>
      <c r="H19" s="9" t="s">
        <v>49</v>
      </c>
    </row>
    <row r="20" spans="1:8" s="2" customFormat="1" ht="12.75" x14ac:dyDescent="0.25">
      <c r="A20" s="10" t="s">
        <v>50</v>
      </c>
      <c r="B20" s="2" t="s">
        <v>44</v>
      </c>
      <c r="C20" s="2" t="s">
        <v>23</v>
      </c>
      <c r="D20" s="5">
        <v>200000</v>
      </c>
      <c r="E20" s="6">
        <v>1</v>
      </c>
      <c r="F20" s="7" t="s">
        <v>13</v>
      </c>
      <c r="G20" s="8" t="str">
        <f t="shared" si="0"/>
        <v>Últimas unidades</v>
      </c>
      <c r="H20" s="9" t="s">
        <v>51</v>
      </c>
    </row>
    <row r="21" spans="1:8" s="2" customFormat="1" ht="25.5" x14ac:dyDescent="0.25">
      <c r="A21" s="3" t="s">
        <v>52</v>
      </c>
      <c r="B21" s="4" t="s">
        <v>44</v>
      </c>
      <c r="C21" s="4" t="s">
        <v>23</v>
      </c>
      <c r="D21" s="5">
        <v>160000</v>
      </c>
      <c r="E21" s="6">
        <v>2</v>
      </c>
      <c r="F21" s="7" t="s">
        <v>13</v>
      </c>
      <c r="G21" s="8" t="str">
        <f t="shared" si="0"/>
        <v>Últimas unidades</v>
      </c>
      <c r="H21" s="9" t="s">
        <v>53</v>
      </c>
    </row>
    <row r="22" spans="1:8" s="2" customFormat="1" ht="12.75" x14ac:dyDescent="0.25">
      <c r="A22" s="10" t="s">
        <v>54</v>
      </c>
      <c r="B22" s="2" t="s">
        <v>44</v>
      </c>
      <c r="C22" s="2" t="s">
        <v>23</v>
      </c>
      <c r="D22" s="5">
        <v>140000</v>
      </c>
      <c r="E22" s="6">
        <v>1</v>
      </c>
      <c r="F22" s="7" t="s">
        <v>13</v>
      </c>
      <c r="G22" s="8" t="str">
        <f t="shared" si="0"/>
        <v>Últimas unidades</v>
      </c>
      <c r="H22" s="9" t="s">
        <v>55</v>
      </c>
    </row>
    <row r="23" spans="1:8" s="2" customFormat="1" ht="12.75" x14ac:dyDescent="0.25">
      <c r="A23" s="3" t="s">
        <v>56</v>
      </c>
      <c r="B23" s="4" t="s">
        <v>57</v>
      </c>
      <c r="C23" s="4" t="s">
        <v>30</v>
      </c>
      <c r="D23" s="5">
        <v>120000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58</v>
      </c>
    </row>
    <row r="24" spans="1:8" s="2" customFormat="1" ht="12.75" x14ac:dyDescent="0.25">
      <c r="A24" s="10" t="s">
        <v>59</v>
      </c>
      <c r="B24" s="2" t="s">
        <v>57</v>
      </c>
      <c r="C24" s="2" t="s">
        <v>30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57</v>
      </c>
      <c r="C25" s="4" t="s">
        <v>23</v>
      </c>
      <c r="D25" s="5">
        <v>130000</v>
      </c>
      <c r="E25" s="6">
        <v>8</v>
      </c>
      <c r="F25" s="7" t="s">
        <v>13</v>
      </c>
      <c r="G25" s="8" t="str">
        <f t="shared" si="0"/>
        <v>Disponible</v>
      </c>
      <c r="H25" s="9" t="s">
        <v>62</v>
      </c>
    </row>
    <row r="26" spans="1:8" s="2" customFormat="1" ht="25.5" x14ac:dyDescent="0.25">
      <c r="A26" s="10" t="s">
        <v>63</v>
      </c>
      <c r="B26" s="2" t="s">
        <v>64</v>
      </c>
      <c r="C26" s="2" t="s">
        <v>12</v>
      </c>
      <c r="D26" s="5">
        <v>130000</v>
      </c>
      <c r="E26" s="6">
        <v>1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67</v>
      </c>
      <c r="C27" s="4" t="s">
        <v>23</v>
      </c>
      <c r="D27" s="5">
        <v>160000</v>
      </c>
      <c r="E27" s="6">
        <v>2</v>
      </c>
      <c r="F27" s="7" t="s">
        <v>13</v>
      </c>
      <c r="G27" s="8" t="str">
        <f t="shared" si="0"/>
        <v>Últimas unidades</v>
      </c>
      <c r="H27" s="9" t="s">
        <v>68</v>
      </c>
    </row>
    <row r="28" spans="1:8" s="2" customFormat="1" ht="25.5" x14ac:dyDescent="0.25">
      <c r="A28" s="10" t="s">
        <v>69</v>
      </c>
      <c r="B28" s="2" t="s">
        <v>70</v>
      </c>
      <c r="C28" s="2" t="s">
        <v>12</v>
      </c>
      <c r="D28" s="5">
        <v>160000</v>
      </c>
      <c r="E28" s="6">
        <v>2</v>
      </c>
      <c r="F28" s="7" t="s">
        <v>13</v>
      </c>
      <c r="G28" s="8" t="str">
        <f t="shared" si="0"/>
        <v>Últimas unidades</v>
      </c>
      <c r="H28" s="9" t="s">
        <v>71</v>
      </c>
    </row>
    <row r="29" spans="1:8" s="2" customFormat="1" ht="12.75" x14ac:dyDescent="0.25">
      <c r="A29" s="3" t="s">
        <v>72</v>
      </c>
      <c r="B29" s="4" t="s">
        <v>73</v>
      </c>
      <c r="C29" s="4" t="s">
        <v>12</v>
      </c>
      <c r="D29" s="5">
        <v>130000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74</v>
      </c>
    </row>
    <row r="30" spans="1:8" s="2" customFormat="1" ht="12.75" x14ac:dyDescent="0.25">
      <c r="A30" s="10" t="s">
        <v>75</v>
      </c>
      <c r="B30" s="2" t="s">
        <v>73</v>
      </c>
      <c r="C30" s="2" t="s">
        <v>12</v>
      </c>
      <c r="D30" s="5">
        <v>140000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76</v>
      </c>
    </row>
    <row r="31" spans="1:8" s="2" customFormat="1" ht="12.75" x14ac:dyDescent="0.25">
      <c r="A31" s="3" t="s">
        <v>77</v>
      </c>
      <c r="B31" s="4" t="s">
        <v>57</v>
      </c>
      <c r="C31" s="4" t="s">
        <v>23</v>
      </c>
      <c r="D31" s="5">
        <v>120000</v>
      </c>
      <c r="E31" s="6">
        <v>2</v>
      </c>
      <c r="F31" s="7" t="s">
        <v>13</v>
      </c>
      <c r="G31" s="8" t="str">
        <f t="shared" si="0"/>
        <v>Últimas unidades</v>
      </c>
      <c r="H31" s="9" t="s">
        <v>78</v>
      </c>
    </row>
    <row r="32" spans="1:8" s="2" customFormat="1" ht="12.75" x14ac:dyDescent="0.25">
      <c r="A32" s="10" t="s">
        <v>79</v>
      </c>
      <c r="B32" s="2" t="s">
        <v>80</v>
      </c>
      <c r="C32" s="2" t="s">
        <v>12</v>
      </c>
      <c r="D32" s="5">
        <v>160000</v>
      </c>
      <c r="E32" s="6">
        <v>0</v>
      </c>
      <c r="F32" s="7" t="s">
        <v>13</v>
      </c>
      <c r="G32" s="8" t="str">
        <f t="shared" si="0"/>
        <v>AGOTADO</v>
      </c>
      <c r="H32" s="9" t="s">
        <v>81</v>
      </c>
    </row>
    <row r="33" spans="1:8" s="2" customFormat="1" ht="12.75" x14ac:dyDescent="0.25">
      <c r="A33" s="3" t="s">
        <v>82</v>
      </c>
      <c r="B33" s="4" t="s">
        <v>80</v>
      </c>
      <c r="C33" s="4" t="s">
        <v>12</v>
      </c>
      <c r="D33" s="5">
        <v>160000</v>
      </c>
      <c r="E33" s="6">
        <v>4</v>
      </c>
      <c r="F33" s="7" t="s">
        <v>13</v>
      </c>
      <c r="G33" s="8" t="str">
        <f t="shared" si="0"/>
        <v>Últimas unidades</v>
      </c>
      <c r="H33" s="9" t="s">
        <v>83</v>
      </c>
    </row>
    <row r="34" spans="1:8" s="2" customFormat="1" ht="12.75" x14ac:dyDescent="0.25">
      <c r="A34" s="10" t="s">
        <v>84</v>
      </c>
      <c r="B34" s="2" t="s">
        <v>80</v>
      </c>
      <c r="C34" s="2" t="s">
        <v>12</v>
      </c>
      <c r="D34" s="5">
        <v>200000</v>
      </c>
      <c r="E34" s="6">
        <v>4</v>
      </c>
      <c r="F34" s="7" t="s">
        <v>13</v>
      </c>
      <c r="G34" s="8" t="str">
        <f t="shared" si="0"/>
        <v>Últimas unidades</v>
      </c>
      <c r="H34" s="9" t="s">
        <v>85</v>
      </c>
    </row>
    <row r="35" spans="1:8" s="2" customFormat="1" ht="12.75" x14ac:dyDescent="0.25">
      <c r="A35" s="3" t="s">
        <v>86</v>
      </c>
      <c r="B35" s="4" t="s">
        <v>80</v>
      </c>
      <c r="C35" s="4" t="s">
        <v>12</v>
      </c>
      <c r="D35" s="5">
        <v>160000</v>
      </c>
      <c r="E35" s="6">
        <v>0</v>
      </c>
      <c r="F35" s="7" t="s">
        <v>13</v>
      </c>
      <c r="G35" s="8" t="str">
        <f t="shared" si="0"/>
        <v>AGOTADO</v>
      </c>
      <c r="H35" s="9" t="s">
        <v>87</v>
      </c>
    </row>
  </sheetData>
  <autoFilter ref="A4:G35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5" xr:uid="{00000000-0002-0000-0000-000000000000}">
      <formula1>0</formula1>
    </dataValidation>
    <dataValidation type="list" showErrorMessage="1" errorTitle="Valor inválido" error="Escribe SI o NO." sqref="F5:F35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88</v>
      </c>
      <c r="B1" s="20"/>
    </row>
    <row r="3" spans="1:2" x14ac:dyDescent="0.25">
      <c r="A3" s="11" t="s">
        <v>89</v>
      </c>
      <c r="B3" s="12">
        <f>COUNTA(Inventario!$A$5:$A$35)</f>
        <v>31</v>
      </c>
    </row>
    <row r="4" spans="1:2" x14ac:dyDescent="0.25">
      <c r="A4" s="11" t="s">
        <v>90</v>
      </c>
      <c r="B4" s="12">
        <f>COUNTIF(Inventario!$G$5:$G$35,"Disponible")</f>
        <v>2</v>
      </c>
    </row>
    <row r="5" spans="1:2" x14ac:dyDescent="0.25">
      <c r="A5" s="11" t="s">
        <v>91</v>
      </c>
      <c r="B5" s="12">
        <f>COUNTIF(Inventario!$G$5:$G$35,"Últimas unidades")</f>
        <v>26</v>
      </c>
    </row>
    <row r="6" spans="1:2" x14ac:dyDescent="0.25">
      <c r="A6" s="11" t="s">
        <v>92</v>
      </c>
      <c r="B6" s="12">
        <f>COUNTIF(Inventario!$G$5:$G$35,"AGOTADO")</f>
        <v>3</v>
      </c>
    </row>
    <row r="7" spans="1:2" x14ac:dyDescent="0.25">
      <c r="A7" s="11" t="s">
        <v>93</v>
      </c>
      <c r="B7" s="12">
        <f>COUNTIF(Inventario!$G$5:$G$35,"Oculto")</f>
        <v>0</v>
      </c>
    </row>
    <row r="8" spans="1:2" x14ac:dyDescent="0.25">
      <c r="A8" s="11" t="s">
        <v>94</v>
      </c>
      <c r="B8" s="12">
        <f>SUM(Inventario!$E$5:$E$35)</f>
        <v>69</v>
      </c>
    </row>
    <row r="9" spans="1:2" x14ac:dyDescent="0.25">
      <c r="A9" s="11" t="s">
        <v>95</v>
      </c>
      <c r="B9" s="13">
        <f>SUMPRODUCT(Inventario!$D$5:$D$35,Inventario!$E$5:$E$35)</f>
        <v>9140000</v>
      </c>
    </row>
    <row r="11" spans="1:2" x14ac:dyDescent="0.25">
      <c r="A11" s="14" t="s">
        <v>96</v>
      </c>
    </row>
    <row r="13" spans="1:2" x14ac:dyDescent="0.25">
      <c r="A13" s="15" t="s">
        <v>97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98</v>
      </c>
    </row>
    <row r="2" spans="1:1" x14ac:dyDescent="0.25">
      <c r="A2" s="10" t="s">
        <v>99</v>
      </c>
    </row>
    <row r="3" spans="1:1" x14ac:dyDescent="0.25">
      <c r="A3" s="10" t="s">
        <v>100</v>
      </c>
    </row>
    <row r="4" spans="1:1" x14ac:dyDescent="0.25">
      <c r="A4" s="10" t="s">
        <v>101</v>
      </c>
    </row>
    <row r="5" spans="1:1" x14ac:dyDescent="0.25">
      <c r="A5" s="10" t="s">
        <v>102</v>
      </c>
    </row>
    <row r="6" spans="1:1" x14ac:dyDescent="0.25">
      <c r="A6" s="10" t="s">
        <v>103</v>
      </c>
    </row>
    <row r="7" spans="1:1" x14ac:dyDescent="0.25">
      <c r="A7" s="10" t="s">
        <v>104</v>
      </c>
    </row>
    <row r="8" spans="1:1" x14ac:dyDescent="0.25">
      <c r="A8" s="10" t="s">
        <v>99</v>
      </c>
    </row>
    <row r="9" spans="1:1" x14ac:dyDescent="0.25">
      <c r="A9" s="17" t="s">
        <v>105</v>
      </c>
    </row>
    <row r="10" spans="1:1" x14ac:dyDescent="0.25">
      <c r="A10" s="10" t="s">
        <v>106</v>
      </c>
    </row>
    <row r="11" spans="1:1" x14ac:dyDescent="0.25">
      <c r="A11" s="10" t="s">
        <v>107</v>
      </c>
    </row>
    <row r="12" spans="1:1" x14ac:dyDescent="0.25">
      <c r="A12" s="10" t="s">
        <v>108</v>
      </c>
    </row>
    <row r="13" spans="1:1" x14ac:dyDescent="0.25">
      <c r="A13" s="10" t="s">
        <v>109</v>
      </c>
    </row>
    <row r="14" spans="1:1" x14ac:dyDescent="0.25">
      <c r="A14" s="10" t="s">
        <v>110</v>
      </c>
    </row>
    <row r="15" spans="1:1" x14ac:dyDescent="0.25">
      <c r="A15" s="10" t="s">
        <v>99</v>
      </c>
    </row>
    <row r="16" spans="1:1" x14ac:dyDescent="0.25">
      <c r="A16" s="17" t="s">
        <v>111</v>
      </c>
    </row>
    <row r="17" spans="1:1" x14ac:dyDescent="0.25">
      <c r="A17" s="10" t="s">
        <v>112</v>
      </c>
    </row>
    <row r="18" spans="1:1" x14ac:dyDescent="0.25">
      <c r="A18" s="10" t="s">
        <v>113</v>
      </c>
    </row>
    <row r="19" spans="1:1" x14ac:dyDescent="0.25">
      <c r="A19" s="10" t="s">
        <v>114</v>
      </c>
    </row>
    <row r="20" spans="1:1" x14ac:dyDescent="0.25">
      <c r="A20" s="10" t="s">
        <v>115</v>
      </c>
    </row>
    <row r="21" spans="1:1" x14ac:dyDescent="0.25">
      <c r="A21" s="10" t="s">
        <v>99</v>
      </c>
    </row>
    <row r="22" spans="1:1" x14ac:dyDescent="0.25">
      <c r="A22" s="17" t="s">
        <v>116</v>
      </c>
    </row>
    <row r="23" spans="1:1" x14ac:dyDescent="0.25">
      <c r="A23" s="10" t="s">
        <v>117</v>
      </c>
    </row>
    <row r="24" spans="1:1" x14ac:dyDescent="0.25">
      <c r="A24" s="10" t="s">
        <v>118</v>
      </c>
    </row>
    <row r="25" spans="1:1" x14ac:dyDescent="0.25">
      <c r="A25" s="10" t="s">
        <v>119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2026-10-29T14:44:02Z</dcterms:created>
  <dcterms:modified xsi:type="dcterms:W3CDTF">2026-10-29T15:59:20Z</dcterms:modified>
  <cp:category/>
</cp:coreProperties>
</file>