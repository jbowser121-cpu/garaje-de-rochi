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ventario" state="visible" r:id="rId4"/>
    <sheet sheetId="2" name="Resumen" state="visible" r:id="rId5"/>
    <sheet sheetId="3" name="Instrucciones" state="visible" r:id="rId6"/>
  </sheets>
  <calcPr calcId="171027"/>
</workbook>
</file>

<file path=xl/sharedStrings.xml><?xml version="1.0" encoding="utf-8"?>
<sst xmlns="http://schemas.openxmlformats.org/spreadsheetml/2006/main" count="200" uniqueCount="120">
  <si>
    <t>INVENTARIO — El Garaje de Rochi</t>
  </si>
  <si>
    <t>SOLO edites las columnas amarillas: Precio, Cantidad y Mostrar en la web.   Cantidad: unidades que tienes (0 = agotado).   La columna gris del SKU identifica el producto: NO la toques ni cambies el orden de las filas.</t>
  </si>
  <si>
    <t>Producto</t>
  </si>
  <si>
    <t>Marca</t>
  </si>
  <si>
    <t>Categoría</t>
  </si>
  <si>
    <t>Precio</t>
  </si>
  <si>
    <t>Cantidad</t>
  </si>
  <si>
    <t>Mostrar en la web</t>
  </si>
  <si>
    <t>Estado (automático)</t>
  </si>
  <si>
    <t>SKU — no tocar</t>
  </si>
  <si>
    <t>Nature Made Magnesio Citrato 250 mg (180 softgels)</t>
  </si>
  <si>
    <t>Nature Made</t>
  </si>
  <si>
    <t>Vitaminas &amp; Minerales</t>
  </si>
  <si>
    <t>SI</t>
  </si>
  <si>
    <t>VM-MAGCIT-180</t>
  </si>
  <si>
    <t>Nature's Bounty Magnesio Glicinato 240 mg (180 cápsulas)</t>
  </si>
  <si>
    <t>Nature's Bounty</t>
  </si>
  <si>
    <t>VM-MAGGLY-180</t>
  </si>
  <si>
    <t>Nature's Bounty Hair, Skin &amp; Nails Advanced (230 gomitas)</t>
  </si>
  <si>
    <t>Cuidado Personal</t>
  </si>
  <si>
    <t>CP-HSN-ADV-230</t>
  </si>
  <si>
    <t>Kirkland Super B-Complex con Electrolitos (500 tabletas)</t>
  </si>
  <si>
    <t>Kirkland Signature</t>
  </si>
  <si>
    <t>VM-SUPERB-500</t>
  </si>
  <si>
    <t>Nature Made Vitamina C Extra Fuerte 1000 mg (365 tabletas)</t>
  </si>
  <si>
    <t>VM-VITC-XS-365</t>
  </si>
  <si>
    <t>Kirkland Vitamina C Masticable 500 mg (500 tabletas)</t>
  </si>
  <si>
    <t>VM-VITC-500</t>
  </si>
  <si>
    <t>Nature's Bounty Hair, Skin &amp; Nails (250 softgels)</t>
  </si>
  <si>
    <t>CP-HSN-250</t>
  </si>
  <si>
    <t>youtheory Daily Fat Burner (130 cápsulas)</t>
  </si>
  <si>
    <t>youtheory</t>
  </si>
  <si>
    <t>Suplementos</t>
  </si>
  <si>
    <t>SUP-FATBURN-130</t>
  </si>
  <si>
    <t>youtheory Ashwagandha (180 gomitas, frutos rojos)</t>
  </si>
  <si>
    <t>SUP-ASHGUM-180</t>
  </si>
  <si>
    <t>youtheory Ashwagandha 1000 mg (180 cápsulas)</t>
  </si>
  <si>
    <t>SUP-ASH-180</t>
  </si>
  <si>
    <t>youtheory Colágeno Verisol con Biotina (345 comprimidos)</t>
  </si>
  <si>
    <t>SUP-COLLVER-345</t>
  </si>
  <si>
    <t>Nature Made Magnesio Glicinato 100 mg (90 gomitas)</t>
  </si>
  <si>
    <t>VM-MAGGUM-90</t>
  </si>
  <si>
    <t>Nature Made Prenatal Ácido Fólico + DHA (150 softgels)</t>
  </si>
  <si>
    <t>VM-PRENATAL-150</t>
  </si>
  <si>
    <t>Kirkland Omega-3 Aceite de Pescado 1000 mg (400 softgels)</t>
  </si>
  <si>
    <t>SUP-FISHOIL-400</t>
  </si>
  <si>
    <t>Kirkland Vitamina E 180 mg (500 softgels)</t>
  </si>
  <si>
    <t>VM-VITE-500</t>
  </si>
  <si>
    <t>Kirkland Calcio 600 mg con Vitamina D3 (500 tabletas)</t>
  </si>
  <si>
    <t>VM-CALCIO-500</t>
  </si>
  <si>
    <t>Force Factor Ultra Berberina 1200 mg (60 cápsulas)</t>
  </si>
  <si>
    <t>Force Factor</t>
  </si>
  <si>
    <t>SUP-BERBER-60</t>
  </si>
  <si>
    <t>Vitamina E 1000 UI para salud del corazón (60 cápsulas)</t>
  </si>
  <si>
    <t>VM-VITE1000-60</t>
  </si>
  <si>
    <t>trunature Resveratrol Plus (140 cápsulas)</t>
  </si>
  <si>
    <t>trunature</t>
  </si>
  <si>
    <t>SUP-RESV-140</t>
  </si>
  <si>
    <t>Nature's Truth Vinagre de Manzana Orgánico 500 mg (120 gomitas)</t>
  </si>
  <si>
    <t>Nature's Truth</t>
  </si>
  <si>
    <t>SUP-ACV-120</t>
  </si>
  <si>
    <t>Kirkland B-12 5000 mcg Disolución Rápida (300 tabletas)</t>
  </si>
  <si>
    <t>VM-B12-300</t>
  </si>
  <si>
    <t>Natrol Melatonina 5 mg Disolución Rápida (250 tabletas)</t>
  </si>
  <si>
    <t>Natrol</t>
  </si>
  <si>
    <t>SUP-MELA-250</t>
  </si>
  <si>
    <t>trunature Probiótico Digestivo Avanzado (100 cápsulas)</t>
  </si>
  <si>
    <t>SUP-PROBIO-100</t>
  </si>
  <si>
    <t>Carlyle Panax Ginseng + Ginkgo Biloba 5.000 mg (120 cápsulas)</t>
  </si>
  <si>
    <t>Carlyle</t>
  </si>
  <si>
    <t>SUP-GINSENG-120</t>
  </si>
  <si>
    <t>Nature Made Vitamina D3 25 mcg (650 softgels)</t>
  </si>
  <si>
    <t>VM-VITD3-650</t>
  </si>
  <si>
    <t>Nutricost Selenio 200 mcg (240 cápsulas)</t>
  </si>
  <si>
    <t>Nutricost</t>
  </si>
  <si>
    <t>VM-SELENIO-240</t>
  </si>
  <si>
    <t>Kirkland Minoxidil 5% para hombres (tubo 60 mL)</t>
  </si>
  <si>
    <t>CP-MINOXIDIL</t>
  </si>
  <si>
    <t>Kirkland Glucosamina y Condroitina (280 tabletas)</t>
  </si>
  <si>
    <t>SUP-GLUCO-280</t>
  </si>
  <si>
    <t>Nature Made CoQ10 200 mg (140 softgels)</t>
  </si>
  <si>
    <t>SUP-COQ10-140</t>
  </si>
  <si>
    <t>Orgain Creatina Monohidratada Micronizada sin sabor (675 g)</t>
  </si>
  <si>
    <t>Orgain</t>
  </si>
  <si>
    <t>SUP-CREATINA-675</t>
  </si>
  <si>
    <t>Feel Good Berberina Fitosoma de alta absorción (120 cápsulas veganas)</t>
  </si>
  <si>
    <t>Feel Good Company</t>
  </si>
  <si>
    <t>SUP-BERBER-FG120</t>
  </si>
  <si>
    <t>RESUMEN DEL INVENTARIO</t>
  </si>
  <si>
    <t>Productos en el catálogo</t>
  </si>
  <si>
    <t>Disponibles</t>
  </si>
  <si>
    <t>Con últimas unidades</t>
  </si>
  <si>
    <t>AGOTADOS</t>
  </si>
  <si>
    <t>Ocultos en la web</t>
  </si>
  <si>
    <t>Unidades en existencia</t>
  </si>
  <si>
    <t>Valor del inventario (a precio de venta)</t>
  </si>
  <si>
    <t>Se recalcula solo cuando cambias las cantidades en la hoja Inventario.</t>
  </si>
  <si>
    <t>Generado: 29/10/2026, 9:40:56 a. m.</t>
  </si>
  <si>
    <t>CÓMO USAR ESTE EXCEL</t>
  </si>
  <si>
    <t/>
  </si>
  <si>
    <t>1. Abre la hoja "Inventario".</t>
  </si>
  <si>
    <t>2. Cambia lo que necesites SOLO en las columnas amarillas.</t>
  </si>
  <si>
    <t>3. Guarda (Ctrl+S) y cierra el archivo.</t>
  </si>
  <si>
    <t>4. Doble clic en "Actualizar-pagina.bat" (en la misma carpeta).</t>
  </si>
  <si>
    <t>5. En menos de un minuto la página web queda actualizada.</t>
  </si>
  <si>
    <t>QUÉ SIGNIFICA CADA COLUMNA</t>
  </si>
  <si>
    <t>Precio — lo que cobras hoy. En pesos, sin puntos ni el signo $. Escribe 170000, no $170.000.</t>
  </si>
  <si>
    <t>Cantidad — cuántas unidades tienes. 0 = en la web sale "Agotado por el momento" y no se puede comprar.</t>
  </si>
  <si>
    <t>Mostrar en la web — SI aparece en la tienda, NO se esconde por completo sin borrarlo.</t>
  </si>
  <si>
    <t>Estado — se calcula solo. No lo edites.</t>
  </si>
  <si>
    <t>SKU — el código del producto. Si lo borras, esa fila se ignora.</t>
  </si>
  <si>
    <t>SOBRE LAS CARPETAS DE FOTOS</t>
  </si>
  <si>
    <t>Antes las cantidades se manejaban con el archivo cantidad.txt de cada carpeta en Descargas.</t>
  </si>
  <si>
    <t>Eso SIGUE funcionando: cuando actualizas desde este Excel, los cantidad.txt se actualizan solos</t>
  </si>
  <si>
    <t>con los mismos números. Así los dos sistemas siempre dicen lo mismo y nada se pisa.</t>
  </si>
  <si>
    <t>Puedes seguir usando cualquiera de los dos, pero lo más cómodo es este Excel.</t>
  </si>
  <si>
    <t>REGLAS IMPORTANTES</t>
  </si>
  <si>
    <t>· No borres filas ni cambies el orden. Para esconder algo, pon NO en "Mostrar en la web".</t>
  </si>
  <si>
    <t>· No le cambies el nombre a la hoja "Inventario".</t>
  </si>
  <si>
    <t>· Para agregar un producto nuevo hacen falta las fotos: pídelo y se agrega.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</si>
</sst>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$&quot; #,##0"/>
  </numFmts>
  <fonts count="13" x14ac:knownFonts="1">
    <font>
      <color theme="1"/>
      <family val="2"/>
      <scheme val="minor"/>
      <sz val="11"/>
      <name val="Calibri"/>
    </font>
    <font>
      <b/>
      <color rgb="FFFFFFFF"/>
      <sz val="16"/>
      <name val="Arial"/>
    </font>
    <font>
      <i/>
      <color rgb="FF6b7472"/>
      <sz val="9"/>
      <name val="Arial"/>
    </font>
    <font>
      <b/>
      <color rgb="FFFFFFFF"/>
      <sz val="10"/>
      <name val="Arial"/>
    </font>
    <font>
      <sz val="10"/>
      <name val="Arial"/>
    </font>
    <font>
      <b/>
      <sz val="10"/>
      <name val="Arial"/>
    </font>
    <font>
      <color rgb="FF9A9A9A"/>
      <sz val="8"/>
      <name val="Arial"/>
    </font>
    <font>
      <b/>
      <color rgb="FFFFFFFF"/>
      <sz val="14"/>
      <name val="Arial"/>
    </font>
    <font>
      <sz val="11"/>
      <name val="Arial"/>
    </font>
    <font>
      <b/>
      <sz val="11"/>
      <name val="Arial"/>
    </font>
    <font>
      <color rgb="FF9A9A9A"/>
      <sz val="9"/>
      <name val="Arial"/>
    </font>
    <font>
      <b/>
      <color rgb="FFFFFFFF"/>
      <sz val="15"/>
      <name val="Arial"/>
    </font>
    <font>
      <b/>
      <color rgb="FF2E8B80"/>
      <sz val="11"/>
      <name val="Arial"/>
    </font>
  </fonts>
  <fills count="7">
    <fill>
      <patternFill patternType="none"/>
    </fill>
    <fill>
      <patternFill patternType="gray125"/>
    </fill>
    <fill>
      <patternFill patternType="solid">
        <fgColor rgb="FF4FB8AB"/>
      </patternFill>
    </fill>
    <fill>
      <patternFill patternType="solid">
        <fgColor rgb="FF2E8B80"/>
      </patternFill>
    </fill>
    <fill>
      <patternFill patternType="solid">
        <fgColor rgb="FFE6F5F3"/>
      </patternFill>
    </fill>
    <fill>
      <patternFill patternType="solid">
        <fgColor rgb="FFFFF2CC"/>
      </patternFill>
    </fill>
    <fill>
      <patternFill patternType="solid">
        <fgColor rgb="FFEDED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vertical="center" wrapText="1"/>
    </xf>
    <xf numFmtId="0" fontId="3" fillId="3" borderId="0" xfId="0" applyFont="1" applyFill="1" applyAlignment="1">
      <alignment horizontal="center" vertical="center" wrapText="1"/>
    </xf>
    <xf numFmtId="0" fontId="4" fillId="0" borderId="0" xfId="0" applyFont="1" applyAlignment="1">
      <alignment vertical="center"/>
    </xf>
    <xf numFmtId="0" fontId="4" fillId="4" borderId="0" xfId="0" applyFont="1" applyFill="1" applyAlignment="1">
      <alignment vertical="center" wrapText="1"/>
    </xf>
    <xf numFmtId="0" fontId="4" fillId="4" borderId="0" xfId="0" applyFont="1" applyFill="1" applyAlignment="1">
      <alignment vertical="center"/>
    </xf>
    <xf numFmtId="164" fontId="4" fillId="5" borderId="0" xfId="0" applyNumberFormat="1" applyFont="1" applyFill="1" applyAlignment="1">
      <alignment horizontal="center" vertical="center"/>
    </xf>
    <xf numFmtId="1" fontId="4" fillId="5" borderId="0" xfId="0" applyNumberFormat="1" applyFont="1" applyFill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6" borderId="0" xfId="0" applyFont="1" applyFill="1" applyAlignment="1">
      <alignment vertical="center"/>
    </xf>
    <xf numFmtId="0" fontId="4" fillId="0" borderId="0" xfId="0" applyFont="1" applyAlignment="1">
      <alignment vertical="center" wrapText="1"/>
    </xf>
    <xf numFmtId="0" fontId="7" fillId="2" borderId="0" xfId="0" applyFont="1" applyFill="1"/>
    <xf numFmtId="0" fontId="8" fillId="0" borderId="0" xfId="0" applyFont="1"/>
    <xf numFmtId="1" fontId="9" fillId="0" borderId="0" xfId="0" applyNumberFormat="1" applyFont="1" applyAlignment="1">
      <alignment horizontal="right"/>
    </xf>
    <xf numFmtId="164" fontId="9" fillId="0" borderId="0" xfId="0" applyNumberFormat="1" applyFont="1" applyAlignment="1">
      <alignment horizontal="right"/>
    </xf>
    <xf numFmtId="0" fontId="2" fillId="0" borderId="0" xfId="0" applyFont="1"/>
    <xf numFmtId="0" fontId="10" fillId="0" borderId="0" xfId="0" applyFont="1"/>
    <xf numFmtId="0" fontId="11" fillId="2" borderId="0" xfId="0" applyFont="1" applyFill="1" applyAlignment="1">
      <alignment vertical="center" wrapText="1"/>
    </xf>
    <xf numFmtId="0" fontId="12" fillId="0" borderId="0" xfId="0" applyFont="1" applyAlignment="1">
      <alignment vertical="center" wrapText="1"/>
    </xf>
  </cellXfs>
  <cellStyles count="1">
    <cellStyle name="Normal" xfId="0" builtinId="0"/>
  </cellStyles>
  <dxfs count="4"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6b7472"/>
      </font>
      <fill>
        <patternFill patternType="solid">
          <bgColor rgb="FFEDEDED"/>
        </patternFill>
      </fill>
    </dxf>
    <dxf>
      <font>
        <color rgb="FF006100"/>
      </font>
      <fill>
        <patternFill patternType="solid"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35"/>
  <sheetViews>
    <sheetView workbookViewId="0">
      <pane xSplit="1" ySplit="4" topLeftCell="B5" activePane="bottomRight" state="frozen"/>
      <selection pane="bottomRight"/>
    </sheetView>
  </sheetViews>
  <sheetFormatPr defaultRowHeight="15" outlineLevelRow="0" outlineLevelCol="0" x14ac:dyDescent="55"/>
  <cols>
    <col min="1" max="1" width="52" customWidth="1"/>
    <col min="2" max="2" width="18" customWidth="1"/>
    <col min="3" max="3" width="22" customWidth="1"/>
    <col min="4" max="4" width="14" customWidth="1"/>
    <col min="5" max="5" width="11" customWidth="1"/>
    <col min="6" max="6" width="16" customWidth="1"/>
    <col min="7" max="8" width="20" customWidth="1"/>
  </cols>
  <sheetData>
    <row r="1" ht="28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30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ht="32" customHeight="1" spans="1:8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spans="1:8" s="4" customFormat="1" x14ac:dyDescent="0.25">
      <c r="A5" s="5" t="s">
        <v>10</v>
      </c>
      <c r="B5" s="6" t="s">
        <v>11</v>
      </c>
      <c r="C5" s="6" t="s">
        <v>12</v>
      </c>
      <c r="D5" s="7">
        <v>170000</v>
      </c>
      <c r="E5" s="8">
        <v>2</v>
      </c>
      <c r="F5" s="9" t="s">
        <v>13</v>
      </c>
      <c r="G5" s="10">
        <f>IF(F5="NO","Oculto",IF(E5&lt;=0,"AGOTADO",IF(E5&lt;=5,"Últimas unidades","Disponible")))</f>
      </c>
      <c r="H5" s="11" t="s">
        <v>14</v>
      </c>
    </row>
    <row r="6" spans="1:8" s="4" customFormat="1" x14ac:dyDescent="0.25">
      <c r="A6" s="12" t="s">
        <v>15</v>
      </c>
      <c r="B6" s="4" t="s">
        <v>16</v>
      </c>
      <c r="C6" s="4" t="s">
        <v>12</v>
      </c>
      <c r="D6" s="7">
        <v>130000</v>
      </c>
      <c r="E6" s="8">
        <v>2</v>
      </c>
      <c r="F6" s="9" t="s">
        <v>13</v>
      </c>
      <c r="G6" s="10">
        <f>IF(F6="NO","Oculto",IF(E6&lt;=0,"AGOTADO",IF(E6&lt;=5,"Últimas unidades","Disponible")))</f>
      </c>
      <c r="H6" s="11" t="s">
        <v>17</v>
      </c>
    </row>
    <row r="7" spans="1:8" s="4" customFormat="1" x14ac:dyDescent="0.25">
      <c r="A7" s="5" t="s">
        <v>18</v>
      </c>
      <c r="B7" s="6" t="s">
        <v>16</v>
      </c>
      <c r="C7" s="6" t="s">
        <v>19</v>
      </c>
      <c r="D7" s="7">
        <v>130000</v>
      </c>
      <c r="E7" s="8">
        <v>1</v>
      </c>
      <c r="F7" s="9" t="s">
        <v>13</v>
      </c>
      <c r="G7" s="10">
        <f>IF(F7="NO","Oculto",IF(E7&lt;=0,"AGOTADO",IF(E7&lt;=5,"Últimas unidades","Disponible")))</f>
      </c>
      <c r="H7" s="11" t="s">
        <v>20</v>
      </c>
    </row>
    <row r="8" spans="1:8" s="4" customFormat="1" x14ac:dyDescent="0.25">
      <c r="A8" s="12" t="s">
        <v>21</v>
      </c>
      <c r="B8" s="4" t="s">
        <v>22</v>
      </c>
      <c r="C8" s="4" t="s">
        <v>12</v>
      </c>
      <c r="D8" s="7">
        <v>130000</v>
      </c>
      <c r="E8" s="8">
        <v>1</v>
      </c>
      <c r="F8" s="9" t="s">
        <v>13</v>
      </c>
      <c r="G8" s="10">
        <f>IF(F8="NO","Oculto",IF(E8&lt;=0,"AGOTADO",IF(E8&lt;=5,"Últimas unidades","Disponible")))</f>
      </c>
      <c r="H8" s="11" t="s">
        <v>23</v>
      </c>
    </row>
    <row r="9" spans="1:8" s="4" customFormat="1" x14ac:dyDescent="0.25">
      <c r="A9" s="5" t="s">
        <v>24</v>
      </c>
      <c r="B9" s="6" t="s">
        <v>11</v>
      </c>
      <c r="C9" s="6" t="s">
        <v>12</v>
      </c>
      <c r="D9" s="7">
        <v>160000</v>
      </c>
      <c r="E9" s="8">
        <v>0</v>
      </c>
      <c r="F9" s="9" t="s">
        <v>13</v>
      </c>
      <c r="G9" s="10">
        <f>IF(F9="NO","Oculto",IF(E9&lt;=0,"AGOTADO",IF(E9&lt;=5,"Últimas unidades","Disponible")))</f>
      </c>
      <c r="H9" s="11" t="s">
        <v>25</v>
      </c>
    </row>
    <row r="10" spans="1:8" s="4" customFormat="1" x14ac:dyDescent="0.25">
      <c r="A10" s="12" t="s">
        <v>26</v>
      </c>
      <c r="B10" s="4" t="s">
        <v>22</v>
      </c>
      <c r="C10" s="4" t="s">
        <v>12</v>
      </c>
      <c r="D10" s="7">
        <v>130000</v>
      </c>
      <c r="E10" s="8">
        <v>1</v>
      </c>
      <c r="F10" s="9" t="s">
        <v>13</v>
      </c>
      <c r="G10" s="10">
        <f>IF(F10="NO","Oculto",IF(E10&lt;=0,"AGOTADO",IF(E10&lt;=5,"Últimas unidades","Disponible")))</f>
      </c>
      <c r="H10" s="11" t="s">
        <v>27</v>
      </c>
    </row>
    <row r="11" spans="1:8" s="4" customFormat="1" x14ac:dyDescent="0.25">
      <c r="A11" s="5" t="s">
        <v>28</v>
      </c>
      <c r="B11" s="6" t="s">
        <v>16</v>
      </c>
      <c r="C11" s="6" t="s">
        <v>19</v>
      </c>
      <c r="D11" s="7">
        <v>120000</v>
      </c>
      <c r="E11" s="8">
        <v>2</v>
      </c>
      <c r="F11" s="9" t="s">
        <v>13</v>
      </c>
      <c r="G11" s="10">
        <f>IF(F11="NO","Oculto",IF(E11&lt;=0,"AGOTADO",IF(E11&lt;=5,"Últimas unidades","Disponible")))</f>
      </c>
      <c r="H11" s="11" t="s">
        <v>29</v>
      </c>
    </row>
    <row r="12" spans="1:8" s="4" customFormat="1" x14ac:dyDescent="0.25">
      <c r="A12" s="12" t="s">
        <v>30</v>
      </c>
      <c r="B12" s="4" t="s">
        <v>31</v>
      </c>
      <c r="C12" s="4" t="s">
        <v>32</v>
      </c>
      <c r="D12" s="7">
        <v>160000</v>
      </c>
      <c r="E12" s="8">
        <v>0</v>
      </c>
      <c r="F12" s="9" t="s">
        <v>13</v>
      </c>
      <c r="G12" s="10">
        <f>IF(F12="NO","Oculto",IF(E12&lt;=0,"AGOTADO",IF(E12&lt;=5,"Últimas unidades","Disponible")))</f>
      </c>
      <c r="H12" s="11" t="s">
        <v>33</v>
      </c>
    </row>
    <row r="13" spans="1:8" s="4" customFormat="1" x14ac:dyDescent="0.25">
      <c r="A13" s="5" t="s">
        <v>34</v>
      </c>
      <c r="B13" s="6" t="s">
        <v>31</v>
      </c>
      <c r="C13" s="6" t="s">
        <v>32</v>
      </c>
      <c r="D13" s="7">
        <v>160000</v>
      </c>
      <c r="E13" s="8">
        <v>0</v>
      </c>
      <c r="F13" s="9" t="s">
        <v>13</v>
      </c>
      <c r="G13" s="10">
        <f>IF(F13="NO","Oculto",IF(E13&lt;=0,"AGOTADO",IF(E13&lt;=5,"Últimas unidades","Disponible")))</f>
      </c>
      <c r="H13" s="11" t="s">
        <v>35</v>
      </c>
    </row>
    <row r="14" spans="1:8" s="4" customFormat="1" x14ac:dyDescent="0.25">
      <c r="A14" s="12" t="s">
        <v>36</v>
      </c>
      <c r="B14" s="4" t="s">
        <v>31</v>
      </c>
      <c r="C14" s="4" t="s">
        <v>32</v>
      </c>
      <c r="D14" s="7">
        <v>160000</v>
      </c>
      <c r="E14" s="8">
        <v>0</v>
      </c>
      <c r="F14" s="9" t="s">
        <v>13</v>
      </c>
      <c r="G14" s="10">
        <f>IF(F14="NO","Oculto",IF(E14&lt;=0,"AGOTADO",IF(E14&lt;=5,"Últimas unidades","Disponible")))</f>
      </c>
      <c r="H14" s="11" t="s">
        <v>37</v>
      </c>
    </row>
    <row r="15" spans="1:8" s="4" customFormat="1" x14ac:dyDescent="0.25">
      <c r="A15" s="5" t="s">
        <v>38</v>
      </c>
      <c r="B15" s="6" t="s">
        <v>31</v>
      </c>
      <c r="C15" s="6" t="s">
        <v>32</v>
      </c>
      <c r="D15" s="7">
        <v>200000</v>
      </c>
      <c r="E15" s="8">
        <v>0</v>
      </c>
      <c r="F15" s="9" t="s">
        <v>13</v>
      </c>
      <c r="G15" s="10">
        <f>IF(F15="NO","Oculto",IF(E15&lt;=0,"AGOTADO",IF(E15&lt;=5,"Últimas unidades","Disponible")))</f>
      </c>
      <c r="H15" s="11" t="s">
        <v>39</v>
      </c>
    </row>
    <row r="16" spans="1:8" s="4" customFormat="1" x14ac:dyDescent="0.25">
      <c r="A16" s="12" t="s">
        <v>40</v>
      </c>
      <c r="B16" s="4" t="s">
        <v>11</v>
      </c>
      <c r="C16" s="4" t="s">
        <v>12</v>
      </c>
      <c r="D16" s="7">
        <v>130000</v>
      </c>
      <c r="E16" s="8">
        <v>0</v>
      </c>
      <c r="F16" s="9" t="s">
        <v>13</v>
      </c>
      <c r="G16" s="10">
        <f>IF(F16="NO","Oculto",IF(E16&lt;=0,"AGOTADO",IF(E16&lt;=5,"Últimas unidades","Disponible")))</f>
      </c>
      <c r="H16" s="11" t="s">
        <v>41</v>
      </c>
    </row>
    <row r="17" spans="1:8" s="4" customFormat="1" x14ac:dyDescent="0.25">
      <c r="A17" s="5" t="s">
        <v>42</v>
      </c>
      <c r="B17" s="6" t="s">
        <v>11</v>
      </c>
      <c r="C17" s="6" t="s">
        <v>12</v>
      </c>
      <c r="D17" s="7">
        <v>200000</v>
      </c>
      <c r="E17" s="8">
        <v>1</v>
      </c>
      <c r="F17" s="9" t="s">
        <v>13</v>
      </c>
      <c r="G17" s="10">
        <f>IF(F17="NO","Oculto",IF(E17&lt;=0,"AGOTADO",IF(E17&lt;=5,"Últimas unidades","Disponible")))</f>
      </c>
      <c r="H17" s="11" t="s">
        <v>43</v>
      </c>
    </row>
    <row r="18" spans="1:8" s="4" customFormat="1" x14ac:dyDescent="0.25">
      <c r="A18" s="12" t="s">
        <v>44</v>
      </c>
      <c r="B18" s="4" t="s">
        <v>22</v>
      </c>
      <c r="C18" s="4" t="s">
        <v>32</v>
      </c>
      <c r="D18" s="7">
        <v>130000</v>
      </c>
      <c r="E18" s="8">
        <v>0</v>
      </c>
      <c r="F18" s="9" t="s">
        <v>13</v>
      </c>
      <c r="G18" s="10">
        <f>IF(F18="NO","Oculto",IF(E18&lt;=0,"AGOTADO",IF(E18&lt;=5,"Últimas unidades","Disponible")))</f>
      </c>
      <c r="H18" s="11" t="s">
        <v>45</v>
      </c>
    </row>
    <row r="19" spans="1:8" s="4" customFormat="1" x14ac:dyDescent="0.25">
      <c r="A19" s="5" t="s">
        <v>46</v>
      </c>
      <c r="B19" s="6" t="s">
        <v>22</v>
      </c>
      <c r="C19" s="6" t="s">
        <v>12</v>
      </c>
      <c r="D19" s="7">
        <v>120000</v>
      </c>
      <c r="E19" s="8">
        <v>4</v>
      </c>
      <c r="F19" s="9" t="s">
        <v>13</v>
      </c>
      <c r="G19" s="10">
        <f>IF(F19="NO","Oculto",IF(E19&lt;=0,"AGOTADO",IF(E19&lt;=5,"Últimas unidades","Disponible")))</f>
      </c>
      <c r="H19" s="11" t="s">
        <v>47</v>
      </c>
    </row>
    <row r="20" spans="1:8" s="4" customFormat="1" x14ac:dyDescent="0.25">
      <c r="A20" s="12" t="s">
        <v>48</v>
      </c>
      <c r="B20" s="4" t="s">
        <v>22</v>
      </c>
      <c r="C20" s="4" t="s">
        <v>12</v>
      </c>
      <c r="D20" s="7">
        <v>110000</v>
      </c>
      <c r="E20" s="8">
        <v>2</v>
      </c>
      <c r="F20" s="9" t="s">
        <v>13</v>
      </c>
      <c r="G20" s="10">
        <f>IF(F20="NO","Oculto",IF(E20&lt;=0,"AGOTADO",IF(E20&lt;=5,"Últimas unidades","Disponible")))</f>
      </c>
      <c r="H20" s="11" t="s">
        <v>49</v>
      </c>
    </row>
    <row r="21" spans="1:8" s="4" customFormat="1" x14ac:dyDescent="0.25">
      <c r="A21" s="5" t="s">
        <v>50</v>
      </c>
      <c r="B21" s="6" t="s">
        <v>51</v>
      </c>
      <c r="C21" s="6" t="s">
        <v>32</v>
      </c>
      <c r="D21" s="7">
        <v>120000</v>
      </c>
      <c r="E21" s="8">
        <v>0</v>
      </c>
      <c r="F21" s="9" t="s">
        <v>13</v>
      </c>
      <c r="G21" s="10">
        <f>IF(F21="NO","Oculto",IF(E21&lt;=0,"AGOTADO",IF(E21&lt;=5,"Últimas unidades","Disponible")))</f>
      </c>
      <c r="H21" s="11" t="s">
        <v>52</v>
      </c>
    </row>
    <row r="22" spans="1:8" s="4" customFormat="1" x14ac:dyDescent="0.25">
      <c r="A22" s="12" t="s">
        <v>53</v>
      </c>
      <c r="B22" s="4" t="s">
        <v>16</v>
      </c>
      <c r="C22" s="4" t="s">
        <v>12</v>
      </c>
      <c r="D22" s="7">
        <v>120000</v>
      </c>
      <c r="E22" s="8">
        <v>0</v>
      </c>
      <c r="F22" s="9" t="s">
        <v>13</v>
      </c>
      <c r="G22" s="10">
        <f>IF(F22="NO","Oculto",IF(E22&lt;=0,"AGOTADO",IF(E22&lt;=5,"Últimas unidades","Disponible")))</f>
      </c>
      <c r="H22" s="11" t="s">
        <v>54</v>
      </c>
    </row>
    <row r="23" spans="1:8" s="4" customFormat="1" x14ac:dyDescent="0.25">
      <c r="A23" s="5" t="s">
        <v>55</v>
      </c>
      <c r="B23" s="6" t="s">
        <v>56</v>
      </c>
      <c r="C23" s="6" t="s">
        <v>32</v>
      </c>
      <c r="D23" s="7">
        <v>140000</v>
      </c>
      <c r="E23" s="8">
        <v>2</v>
      </c>
      <c r="F23" s="9" t="s">
        <v>13</v>
      </c>
      <c r="G23" s="10">
        <f>IF(F23="NO","Oculto",IF(E23&lt;=0,"AGOTADO",IF(E23&lt;=5,"Últimas unidades","Disponible")))</f>
      </c>
      <c r="H23" s="11" t="s">
        <v>57</v>
      </c>
    </row>
    <row r="24" spans="1:8" s="4" customFormat="1" x14ac:dyDescent="0.25">
      <c r="A24" s="12" t="s">
        <v>58</v>
      </c>
      <c r="B24" s="4" t="s">
        <v>59</v>
      </c>
      <c r="C24" s="4" t="s">
        <v>32</v>
      </c>
      <c r="D24" s="7">
        <v>130000</v>
      </c>
      <c r="E24" s="8">
        <v>1</v>
      </c>
      <c r="F24" s="9" t="s">
        <v>13</v>
      </c>
      <c r="G24" s="10">
        <f>IF(F24="NO","Oculto",IF(E24&lt;=0,"AGOTADO",IF(E24&lt;=5,"Últimas unidades","Disponible")))</f>
      </c>
      <c r="H24" s="11" t="s">
        <v>60</v>
      </c>
    </row>
    <row r="25" spans="1:8" s="4" customFormat="1" x14ac:dyDescent="0.25">
      <c r="A25" s="5" t="s">
        <v>61</v>
      </c>
      <c r="B25" s="6" t="s">
        <v>22</v>
      </c>
      <c r="C25" s="6" t="s">
        <v>12</v>
      </c>
      <c r="D25" s="7">
        <v>130000</v>
      </c>
      <c r="E25" s="8">
        <v>1</v>
      </c>
      <c r="F25" s="9" t="s">
        <v>13</v>
      </c>
      <c r="G25" s="10">
        <f>IF(F25="NO","Oculto",IF(E25&lt;=0,"AGOTADO",IF(E25&lt;=5,"Últimas unidades","Disponible")))</f>
      </c>
      <c r="H25" s="11" t="s">
        <v>62</v>
      </c>
    </row>
    <row r="26" spans="1:8" s="4" customFormat="1" x14ac:dyDescent="0.25">
      <c r="A26" s="12" t="s">
        <v>63</v>
      </c>
      <c r="B26" s="4" t="s">
        <v>64</v>
      </c>
      <c r="C26" s="4" t="s">
        <v>32</v>
      </c>
      <c r="D26" s="7">
        <v>140000</v>
      </c>
      <c r="E26" s="8">
        <v>3</v>
      </c>
      <c r="F26" s="9" t="s">
        <v>13</v>
      </c>
      <c r="G26" s="10">
        <f>IF(F26="NO","Oculto",IF(E26&lt;=0,"AGOTADO",IF(E26&lt;=5,"Últimas unidades","Disponible")))</f>
      </c>
      <c r="H26" s="11" t="s">
        <v>65</v>
      </c>
    </row>
    <row r="27" spans="1:8" s="4" customFormat="1" x14ac:dyDescent="0.25">
      <c r="A27" s="5" t="s">
        <v>66</v>
      </c>
      <c r="B27" s="6" t="s">
        <v>56</v>
      </c>
      <c r="C27" s="6" t="s">
        <v>32</v>
      </c>
      <c r="D27" s="7">
        <v>130000</v>
      </c>
      <c r="E27" s="8">
        <v>1</v>
      </c>
      <c r="F27" s="9" t="s">
        <v>13</v>
      </c>
      <c r="G27" s="10">
        <f>IF(F27="NO","Oculto",IF(E27&lt;=0,"AGOTADO",IF(E27&lt;=5,"Últimas unidades","Disponible")))</f>
      </c>
      <c r="H27" s="11" t="s">
        <v>67</v>
      </c>
    </row>
    <row r="28" spans="1:8" s="4" customFormat="1" x14ac:dyDescent="0.25">
      <c r="A28" s="12" t="s">
        <v>68</v>
      </c>
      <c r="B28" s="4" t="s">
        <v>69</v>
      </c>
      <c r="C28" s="4" t="s">
        <v>32</v>
      </c>
      <c r="D28" s="7">
        <v>120000</v>
      </c>
      <c r="E28" s="8">
        <v>0</v>
      </c>
      <c r="F28" s="9" t="s">
        <v>13</v>
      </c>
      <c r="G28" s="10">
        <f>IF(F28="NO","Oculto",IF(E28&lt;=0,"AGOTADO",IF(E28&lt;=5,"Últimas unidades","Disponible")))</f>
      </c>
      <c r="H28" s="11" t="s">
        <v>70</v>
      </c>
    </row>
    <row r="29" spans="1:8" s="4" customFormat="1" x14ac:dyDescent="0.25">
      <c r="A29" s="5" t="s">
        <v>71</v>
      </c>
      <c r="B29" s="6" t="s">
        <v>11</v>
      </c>
      <c r="C29" s="6" t="s">
        <v>12</v>
      </c>
      <c r="D29" s="7">
        <v>140000</v>
      </c>
      <c r="E29" s="8">
        <v>1</v>
      </c>
      <c r="F29" s="9" t="s">
        <v>13</v>
      </c>
      <c r="G29" s="10">
        <f>IF(F29="NO","Oculto",IF(E29&lt;=0,"AGOTADO",IF(E29&lt;=5,"Últimas unidades","Disponible")))</f>
      </c>
      <c r="H29" s="11" t="s">
        <v>72</v>
      </c>
    </row>
    <row r="30" spans="1:8" s="4" customFormat="1" x14ac:dyDescent="0.25">
      <c r="A30" s="12" t="s">
        <v>73</v>
      </c>
      <c r="B30" s="4" t="s">
        <v>74</v>
      </c>
      <c r="C30" s="4" t="s">
        <v>12</v>
      </c>
      <c r="D30" s="7">
        <v>160000</v>
      </c>
      <c r="E30" s="8">
        <v>2</v>
      </c>
      <c r="F30" s="9" t="s">
        <v>13</v>
      </c>
      <c r="G30" s="10">
        <f>IF(F30="NO","Oculto",IF(E30&lt;=0,"AGOTADO",IF(E30&lt;=5,"Últimas unidades","Disponible")))</f>
      </c>
      <c r="H30" s="11" t="s">
        <v>75</v>
      </c>
    </row>
    <row r="31" spans="1:8" s="4" customFormat="1" x14ac:dyDescent="0.25">
      <c r="A31" s="5" t="s">
        <v>76</v>
      </c>
      <c r="B31" s="6" t="s">
        <v>22</v>
      </c>
      <c r="C31" s="6" t="s">
        <v>19</v>
      </c>
      <c r="D31" s="7">
        <v>60000</v>
      </c>
      <c r="E31" s="8">
        <v>10</v>
      </c>
      <c r="F31" s="9" t="s">
        <v>13</v>
      </c>
      <c r="G31" s="10">
        <f>IF(F31="NO","Oculto",IF(E31&lt;=0,"AGOTADO",IF(E31&lt;=5,"Últimas unidades","Disponible")))</f>
      </c>
      <c r="H31" s="11" t="s">
        <v>77</v>
      </c>
    </row>
    <row r="32" spans="1:8" s="4" customFormat="1" x14ac:dyDescent="0.25">
      <c r="A32" s="12" t="s">
        <v>78</v>
      </c>
      <c r="B32" s="4" t="s">
        <v>22</v>
      </c>
      <c r="C32" s="4" t="s">
        <v>32</v>
      </c>
      <c r="D32" s="7">
        <v>160000</v>
      </c>
      <c r="E32" s="8">
        <v>1</v>
      </c>
      <c r="F32" s="9" t="s">
        <v>13</v>
      </c>
      <c r="G32" s="10">
        <f>IF(F32="NO","Oculto",IF(E32&lt;=0,"AGOTADO",IF(E32&lt;=5,"Últimas unidades","Disponible")))</f>
      </c>
      <c r="H32" s="11" t="s">
        <v>79</v>
      </c>
    </row>
    <row r="33" spans="1:8" s="4" customFormat="1" x14ac:dyDescent="0.25">
      <c r="A33" s="5" t="s">
        <v>80</v>
      </c>
      <c r="B33" s="6" t="s">
        <v>11</v>
      </c>
      <c r="C33" s="6" t="s">
        <v>32</v>
      </c>
      <c r="D33" s="7">
        <v>260000</v>
      </c>
      <c r="E33" s="8">
        <v>1</v>
      </c>
      <c r="F33" s="9" t="s">
        <v>13</v>
      </c>
      <c r="G33" s="10">
        <f>IF(F33="NO","Oculto",IF(E33&lt;=0,"AGOTADO",IF(E33&lt;=5,"Últimas unidades","Disponible")))</f>
      </c>
      <c r="H33" s="11" t="s">
        <v>81</v>
      </c>
    </row>
    <row r="34" spans="1:8" s="4" customFormat="1" x14ac:dyDescent="0.25">
      <c r="A34" s="12" t="s">
        <v>82</v>
      </c>
      <c r="B34" s="4" t="s">
        <v>83</v>
      </c>
      <c r="C34" s="4" t="s">
        <v>32</v>
      </c>
      <c r="D34" s="7">
        <v>160000</v>
      </c>
      <c r="E34" s="8">
        <v>2</v>
      </c>
      <c r="F34" s="9" t="s">
        <v>13</v>
      </c>
      <c r="G34" s="10">
        <f>IF(F34="NO","Oculto",IF(E34&lt;=0,"AGOTADO",IF(E34&lt;=5,"Últimas unidades","Disponible")))</f>
      </c>
      <c r="H34" s="11" t="s">
        <v>84</v>
      </c>
    </row>
    <row r="35" spans="1:8" s="4" customFormat="1" x14ac:dyDescent="0.25">
      <c r="A35" s="5" t="s">
        <v>85</v>
      </c>
      <c r="B35" s="6" t="s">
        <v>86</v>
      </c>
      <c r="C35" s="6" t="s">
        <v>32</v>
      </c>
      <c r="D35" s="7">
        <v>160000</v>
      </c>
      <c r="E35" s="8">
        <v>2</v>
      </c>
      <c r="F35" s="9" t="s">
        <v>13</v>
      </c>
      <c r="G35" s="10">
        <f>IF(F35="NO","Oculto",IF(E35&lt;=0,"AGOTADO",IF(E35&lt;=5,"Últimas unidades","Disponible")))</f>
      </c>
      <c r="H35" s="11" t="s">
        <v>87</v>
      </c>
    </row>
  </sheetData>
  <autoFilter ref="A4:G35"/>
  <mergeCells count="2">
    <mergeCell ref="A1:G1"/>
    <mergeCell ref="A2:G2"/>
  </mergeCells>
  <conditionalFormatting sqref="G5:G35">
    <cfRule type="containsText" dxfId="0" priority="1">
      <formula>NOT(ISERROR(SEARCH("AGOTADO",G5)))</formula>
    </cfRule>
    <cfRule type="containsText" dxfId="1" priority="2">
      <formula>NOT(ISERROR(SEARCH("Últimas",G5)))</formula>
    </cfRule>
    <cfRule type="containsText" dxfId="2" priority="3">
      <formula>NOT(ISERROR(SEARCH("Oculto",G5)))</formula>
    </cfRule>
    <cfRule type="containsText" dxfId="3" priority="4">
      <formula>NOT(ISERROR(SEARCH("Disponible",G5)))</formula>
    </cfRule>
  </conditionalFormatting>
  <dataValidations count="2">
    <dataValidation type="whole" operator="greaterThanOrEqual" showErrorMessage="1" errorTitle="Cantidad inválida" error="Escribe un número entero de 0 en adelante." sqref="E5:E35">
      <formula1>0</formula1>
    </dataValidation>
    <dataValidation type="list" showErrorMessage="1" errorTitle="Valor inválido" error="Escribe SI o NO." sqref="F5:F35">
      <formula1>"SI,NO"</formula1>
    </dataValidation>
  </dataValidation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FormatPr defaultRowHeight="15" outlineLevelRow="0" outlineLevelCol="0" x14ac:dyDescent="55"/>
  <cols>
    <col min="1" max="1" width="38" customWidth="1"/>
    <col min="2" max="2" width="20" customWidth="1"/>
  </cols>
  <sheetData>
    <row r="1" ht="24" customHeight="1" spans="1:2" x14ac:dyDescent="0.25">
      <c r="A1" s="13" t="s">
        <v>88</v>
      </c>
      <c r="B1" s="13"/>
    </row>
    <row r="3" spans="1:2" x14ac:dyDescent="0.25">
      <c r="A3" s="14" t="s">
        <v>89</v>
      </c>
      <c r="B3" s="15">
        <f>COUNTA(Inventario!$A$5:$A$35)</f>
      </c>
    </row>
    <row r="4" spans="1:2" x14ac:dyDescent="0.25">
      <c r="A4" s="14" t="s">
        <v>90</v>
      </c>
      <c r="B4" s="15">
        <f>COUNTIF(Inventario!$G$5:$G$35,"Disponible")</f>
      </c>
    </row>
    <row r="5" spans="1:2" x14ac:dyDescent="0.25">
      <c r="A5" s="14" t="s">
        <v>91</v>
      </c>
      <c r="B5" s="15">
        <f>COUNTIF(Inventario!$G$5:$G$35,"Últimas unidades")</f>
      </c>
    </row>
    <row r="6" spans="1:2" x14ac:dyDescent="0.25">
      <c r="A6" s="14" t="s">
        <v>92</v>
      </c>
      <c r="B6" s="15">
        <f>COUNTIF(Inventario!$G$5:$G$35,"AGOTADO")</f>
      </c>
    </row>
    <row r="7" spans="1:2" x14ac:dyDescent="0.25">
      <c r="A7" s="14" t="s">
        <v>93</v>
      </c>
      <c r="B7" s="15">
        <f>COUNTIF(Inventario!$G$5:$G$35,"Oculto")</f>
      </c>
    </row>
    <row r="8" spans="1:2" x14ac:dyDescent="0.25">
      <c r="A8" s="14" t="s">
        <v>94</v>
      </c>
      <c r="B8" s="15">
        <f>SUM(Inventario!$E$5:$E$35)</f>
      </c>
    </row>
    <row r="9" spans="1:2" x14ac:dyDescent="0.25">
      <c r="A9" s="14" t="s">
        <v>95</v>
      </c>
      <c r="B9" s="16">
        <f>SUMPRODUCT(Inventario!$D$5:$D$35,Inventario!$E$5:$E$35)</f>
      </c>
    </row>
    <row r="11" spans="1:1" x14ac:dyDescent="0.25">
      <c r="A11" s="17" t="s">
        <v>96</v>
      </c>
    </row>
    <row r="13" spans="1:1" x14ac:dyDescent="0.25">
      <c r="A13" s="18" t="s">
        <v>97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5"/>
  <sheetFormatPr defaultRowHeight="15" outlineLevelRow="0" outlineLevelCol="0" x14ac:dyDescent="55"/>
  <cols>
    <col min="1" max="1" width="110" customWidth="1"/>
  </cols>
  <sheetData>
    <row r="1" ht="24" customHeight="1" spans="1:1" x14ac:dyDescent="0.25">
      <c r="A1" s="19" t="s">
        <v>98</v>
      </c>
    </row>
    <row r="2" spans="1:1" x14ac:dyDescent="0.25">
      <c r="A2" s="12" t="s">
        <v>99</v>
      </c>
    </row>
    <row r="3" spans="1:1" x14ac:dyDescent="0.25">
      <c r="A3" s="12" t="s">
        <v>100</v>
      </c>
    </row>
    <row r="4" spans="1:1" x14ac:dyDescent="0.25">
      <c r="A4" s="12" t="s">
        <v>101</v>
      </c>
    </row>
    <row r="5" spans="1:1" x14ac:dyDescent="0.25">
      <c r="A5" s="12" t="s">
        <v>102</v>
      </c>
    </row>
    <row r="6" spans="1:1" x14ac:dyDescent="0.25">
      <c r="A6" s="12" t="s">
        <v>103</v>
      </c>
    </row>
    <row r="7" spans="1:1" x14ac:dyDescent="0.25">
      <c r="A7" s="12" t="s">
        <v>104</v>
      </c>
    </row>
    <row r="8" spans="1:1" x14ac:dyDescent="0.25">
      <c r="A8" s="12" t="s">
        <v>99</v>
      </c>
    </row>
    <row r="9" spans="1:1" x14ac:dyDescent="0.25">
      <c r="A9" s="20" t="s">
        <v>105</v>
      </c>
    </row>
    <row r="10" spans="1:1" x14ac:dyDescent="0.25">
      <c r="A10" s="12" t="s">
        <v>106</v>
      </c>
    </row>
    <row r="11" spans="1:1" x14ac:dyDescent="0.25">
      <c r="A11" s="12" t="s">
        <v>107</v>
      </c>
    </row>
    <row r="12" spans="1:1" x14ac:dyDescent="0.25">
      <c r="A12" s="12" t="s">
        <v>108</v>
      </c>
    </row>
    <row r="13" spans="1:1" x14ac:dyDescent="0.25">
      <c r="A13" s="12" t="s">
        <v>109</v>
      </c>
    </row>
    <row r="14" spans="1:1" x14ac:dyDescent="0.25">
      <c r="A14" s="12" t="s">
        <v>110</v>
      </c>
    </row>
    <row r="15" spans="1:1" x14ac:dyDescent="0.25">
      <c r="A15" s="12" t="s">
        <v>99</v>
      </c>
    </row>
    <row r="16" spans="1:1" x14ac:dyDescent="0.25">
      <c r="A16" s="20" t="s">
        <v>111</v>
      </c>
    </row>
    <row r="17" spans="1:1" x14ac:dyDescent="0.25">
      <c r="A17" s="12" t="s">
        <v>112</v>
      </c>
    </row>
    <row r="18" spans="1:1" x14ac:dyDescent="0.25">
      <c r="A18" s="12" t="s">
        <v>113</v>
      </c>
    </row>
    <row r="19" spans="1:1" x14ac:dyDescent="0.25">
      <c r="A19" s="12" t="s">
        <v>114</v>
      </c>
    </row>
    <row r="20" spans="1:1" x14ac:dyDescent="0.25">
      <c r="A20" s="12" t="s">
        <v>115</v>
      </c>
    </row>
    <row r="21" spans="1:1" x14ac:dyDescent="0.25">
      <c r="A21" s="12" t="s">
        <v>99</v>
      </c>
    </row>
    <row r="22" spans="1:1" x14ac:dyDescent="0.25">
      <c r="A22" s="20" t="s">
        <v>116</v>
      </c>
    </row>
    <row r="23" spans="1:1" x14ac:dyDescent="0.25">
      <c r="A23" s="12" t="s">
        <v>117</v>
      </c>
    </row>
    <row r="24" spans="1:1" x14ac:dyDescent="0.25">
      <c r="A24" s="12" t="s">
        <v>118</v>
      </c>
    </row>
    <row r="25" spans="1:1" x14ac:dyDescent="0.25">
      <c r="A25" s="12" t="s">
        <v>119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Inventario</vt:lpstr>
      <vt:lpstr>Resumen</vt:lpstr>
      <vt:lpstr>Instrucciones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 Garaje de Rochi</dc:creator>
  <dc:title/>
  <dc:subject/>
  <dc:description/>
  <cp:keywords/>
  <cp:category/>
  <cp:lastModifiedBy>Unknown</cp:lastModifiedBy>
  <dcterms:created xsi:type="dcterms:W3CDTF">2026-10-29T14:40:56Z</dcterms:created>
  <dcterms:modified xsi:type="dcterms:W3CDTF">2026-10-29T14:40:56Z</dcterms:modified>
</cp:coreProperties>
</file>