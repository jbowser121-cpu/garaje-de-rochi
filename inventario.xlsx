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2EC93B7E-7496-4223-AD90-4AF2E937945A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B6" i="2" l="1"/>
  <c r="B5" i="2"/>
  <c r="B4" i="2"/>
  <c r="B7" i="2"/>
</calcChain>
</file>

<file path=xl/sharedStrings.xml><?xml version="1.0" encoding="utf-8"?>
<sst xmlns="http://schemas.openxmlformats.org/spreadsheetml/2006/main" count="185" uniqueCount="112">
  <si>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</si>
  <si>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</si>
  <si>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</si>
  <si>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</si>
  <si>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</si>
  <si>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</si>
  <si>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</si>
  <si>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</si>
  <si>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</si>
  <si>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</si>
  <si>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</si>
  <si>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</si>
  <si>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</si>
  <si>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</si>
  <si>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</si>
  <si>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</si>
  <si>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</si>
  <si>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</si>
  <si>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</si>
  <si>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</si>
  <si>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</si>
  <si>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</si>
  <si>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</si>
  <si>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</si>
  <si>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</si>
  <si>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</si>
  <si>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Masticable 500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</si>
  <si>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</si>
  <si>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</si>
  <si>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</si>
  <si>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</si>
  <si>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</si>
  <si>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</si>
  <si>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</si>
  <si>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</si>
  <si>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</si>
  <si>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</si>
  <si>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</si>
  <si>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</si>
  <si>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</si>
  <si>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</si>
  <si>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</si>
  <si>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</si>
  <si>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</si>
  <si>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</si>
  <si>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</si>
  <si>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</si>
  <si>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</si>
  <si>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</si>
  <si>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</si>
  <si>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</si>
  <si>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</si>
  <si>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</si>
  <si>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</si>
  <si>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</si>
  <si>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</si>
  <si>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</si>
  <si>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</si>
  <si>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</si>
  <si>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</si>
  <si>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</si>
  <si>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</si>
  <si>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</si>
  <si>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</si>
  <si>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</si>
  <si>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</si>
  <si>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</si>
  <si>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</si>
  <si>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</si>
  <si>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</si>
  <si>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</si>
  <si>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</si>
  <si>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</si>
  <si>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</si>
  <si>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</si>
  <si>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</si>
  <si>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</si>
  <si>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</si>
  <si>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</si>
  <si>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</si>
  <si>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</si>
  <si>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</si>
  <si>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</si>
  <si>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</si>
  <si>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</si>
  <si>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</si>
  <si>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</si>
  <si>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</si>
  <si>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</si>
  <si>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1/9/2026, 8:37:30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</si>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</sst>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  <font>
      <u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32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A13" sqref="A13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12" ht="27.95" customHeight="1" x14ac:dyDescent="0.25">
      <c r="A1" s="19" t="s">
        <v>0</v>
      </c>
      <c r="B1" s="19"/>
      <c r="C1" s="19"/>
      <c r="D1" s="19"/>
      <c r="E1" s="19"/>
      <c r="F1" s="19"/>
      <c r="G1" s="19"/>
    </row>
    <row r="2" spans="1:12" ht="30" customHeight="1" x14ac:dyDescent="0.25">
      <c r="A2" s="20" t="s">
        <v>1</v>
      </c>
      <c r="B2" s="20"/>
      <c r="C2" s="20"/>
      <c r="D2" s="20"/>
      <c r="E2" s="20"/>
      <c r="F2" s="20"/>
      <c r="G2" s="20"/>
    </row>
    <row r="4" spans="1:12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12" s="2" customFormat="1" ht="12.75" x14ac:dyDescent="0.25">
      <c r="A5" s="3" t="s">
        <v>10</v>
      </c>
      <c r="B5" s="4" t="s">
        <v>11</v>
      </c>
      <c r="C5" s="4" t="s">
        <v>12</v>
      </c>
      <c r="D5" s="5">
        <v>170000</v>
      </c>
      <c r="E5" s="6">
        <v>2</v>
      </c>
      <c r="F5" s="7" t="s">
        <v>13</v>
      </c>
      <c r="G5" s="8" t="str">
        <f t="shared" ref="G5:G32" si="0">IF(F5="NO","Oculto",IF(E5&lt;=0,"AGOTADO",IF(E5&lt;=5,"Últimas unidades","Disponible")))</f>
        <v>Últimas unidades</v>
      </c>
      <c r="H5" s="9" t="s">
        <v>14</v>
      </c>
    </row>
    <row r="6" spans="1:12" s="2" customFormat="1" ht="12.75" x14ac:dyDescent="0.25">
      <c r="A6" s="10" t="s">
        <v>15</v>
      </c>
      <c r="B6" s="2" t="s">
        <v>16</v>
      </c>
      <c r="C6" s="2" t="s">
        <v>12</v>
      </c>
      <c r="D6" s="5">
        <v>130000</v>
      </c>
      <c r="E6" s="6">
        <v>2</v>
      </c>
      <c r="F6" s="7" t="s">
        <v>13</v>
      </c>
      <c r="G6" s="8" t="str">
        <f t="shared" si="0"/>
        <v>Últimas unidades</v>
      </c>
      <c r="H6" s="9" t="s">
        <v>17</v>
      </c>
    </row>
    <row r="7" spans="1:12" s="2" customFormat="1" ht="12.75" x14ac:dyDescent="0.25">
      <c r="A7" s="3" t="s">
        <v>18</v>
      </c>
      <c r="B7" s="4" t="s">
        <v>16</v>
      </c>
      <c r="C7" s="4" t="s">
        <v>19</v>
      </c>
      <c r="D7" s="5">
        <v>130000</v>
      </c>
      <c r="E7" s="6">
        <v>1</v>
      </c>
      <c r="F7" s="7" t="s">
        <v>13</v>
      </c>
      <c r="G7" s="8" t="str">
        <f t="shared" si="0"/>
        <v>Últimas unidades</v>
      </c>
      <c r="H7" s="9" t="s">
        <v>20</v>
      </c>
    </row>
    <row r="8" spans="1:12" s="2" customFormat="1" ht="12.75" x14ac:dyDescent="0.25">
      <c r="A8" s="10" t="s">
        <v>21</v>
      </c>
      <c r="B8" s="2" t="s">
        <v>22</v>
      </c>
      <c r="C8" s="2" t="s">
        <v>12</v>
      </c>
      <c r="D8" s="5">
        <v>130000</v>
      </c>
      <c r="E8" s="6">
        <v>1</v>
      </c>
      <c r="F8" s="7" t="s">
        <v>13</v>
      </c>
      <c r="G8" s="8" t="str">
        <f t="shared" si="0"/>
        <v>Últimas unidades</v>
      </c>
      <c r="H8" s="9" t="s">
        <v>23</v>
      </c>
    </row>
    <row r="9" spans="1:12" s="2" customFormat="1" ht="25.5" x14ac:dyDescent="0.25">
      <c r="A9" s="3" t="s">
        <v>24</v>
      </c>
      <c r="B9" s="4" t="s">
        <v>11</v>
      </c>
      <c r="C9" s="4" t="s">
        <v>12</v>
      </c>
      <c r="D9" s="5">
        <v>160000</v>
      </c>
      <c r="E9" s="6">
        <v>0</v>
      </c>
      <c r="F9" s="7" t="s">
        <v>13</v>
      </c>
      <c r="G9" s="8" t="str">
        <f t="shared" si="0"/>
        <v>AGOTADO</v>
      </c>
      <c r="H9" s="9" t="s">
        <v>25</v>
      </c>
    </row>
    <row r="10" spans="1:12" s="2" customFormat="1" ht="12.75" x14ac:dyDescent="0.25">
      <c r="A10" s="10" t="s">
        <v>26</v>
      </c>
      <c r="B10" s="2" t="s">
        <v>22</v>
      </c>
      <c r="C10" s="2" t="s">
        <v>12</v>
      </c>
      <c r="D10" s="5">
        <v>130000</v>
      </c>
      <c r="E10" s="6">
        <v>1</v>
      </c>
      <c r="F10" s="7" t="s">
        <v>13</v>
      </c>
      <c r="G10" s="8" t="str">
        <f t="shared" si="0"/>
        <v>Últimas unidades</v>
      </c>
      <c r="H10" s="9" t="s">
        <v>27</v>
      </c>
    </row>
    <row r="11" spans="1:12" s="2" customFormat="1" ht="12.75" x14ac:dyDescent="0.25">
      <c r="A11" s="3" t="s">
        <v>28</v>
      </c>
      <c r="B11" s="4" t="s">
        <v>16</v>
      </c>
      <c r="C11" s="4" t="s">
        <v>19</v>
      </c>
      <c r="D11" s="5">
        <v>120000</v>
      </c>
      <c r="E11" s="6">
        <v>1</v>
      </c>
      <c r="F11" s="7" t="s">
        <v>13</v>
      </c>
      <c r="G11" s="8" t="str">
        <f t="shared" si="0"/>
        <v>Últimas unidades</v>
      </c>
      <c r="H11" s="9" t="s">
        <v>29</v>
      </c>
    </row>
    <row r="12" spans="1:12" s="2" customFormat="1" ht="12.75" x14ac:dyDescent="0.25">
      <c r="A12" s="10" t="s">
        <v>30</v>
      </c>
      <c r="B12" s="2" t="s">
        <v>31</v>
      </c>
      <c r="C12" s="2" t="s">
        <v>32</v>
      </c>
      <c r="D12" s="5">
        <v>160000</v>
      </c>
      <c r="E12" s="6">
        <v>0</v>
      </c>
      <c r="F12" s="7" t="s">
        <v>13</v>
      </c>
      <c r="G12" s="8" t="str">
        <f t="shared" si="0"/>
        <v>AGOTADO</v>
      </c>
      <c r="H12" s="9" t="s">
        <v>33</v>
      </c>
    </row>
    <row r="13" spans="1:12" s="2" customFormat="1" ht="12.75" x14ac:dyDescent="0.25">
      <c r="A13" s="3" t="s">
        <v>34</v>
      </c>
      <c r="B13" s="4" t="s">
        <v>31</v>
      </c>
      <c r="C13" s="4" t="s">
        <v>32</v>
      </c>
      <c r="D13" s="5">
        <v>160000</v>
      </c>
      <c r="E13" s="6">
        <v>0</v>
      </c>
      <c r="F13" s="7" t="s">
        <v>13</v>
      </c>
      <c r="G13" s="8" t="str">
        <f t="shared" si="0"/>
        <v>AGOTADO</v>
      </c>
      <c r="H13" s="9" t="s">
        <v>35</v>
      </c>
    </row>
    <row r="14" spans="1:12" s="2" customFormat="1" ht="12.75" x14ac:dyDescent="0.25">
      <c r="A14" s="10" t="s">
        <v>36</v>
      </c>
      <c r="B14" s="2" t="s">
        <v>31</v>
      </c>
      <c r="C14" s="2" t="s">
        <v>32</v>
      </c>
      <c r="D14" s="5">
        <v>160000</v>
      </c>
      <c r="E14" s="6">
        <v>0</v>
      </c>
      <c r="F14" s="7" t="s">
        <v>13</v>
      </c>
      <c r="G14" s="8" t="str">
        <f t="shared" si="0"/>
        <v>AGOTADO</v>
      </c>
      <c r="H14" s="9" t="s">
        <v>37</v>
      </c>
    </row>
    <row r="15" spans="1:12" s="2" customFormat="1" ht="12.75" x14ac:dyDescent="0.25">
      <c r="A15" s="3" t="s">
        <v>38</v>
      </c>
      <c r="B15" s="4" t="s">
        <v>31</v>
      </c>
      <c r="C15" s="4" t="s">
        <v>32</v>
      </c>
      <c r="D15" s="5">
        <v>200000</v>
      </c>
      <c r="E15" s="6">
        <v>0</v>
      </c>
      <c r="F15" s="7" t="s">
        <v>13</v>
      </c>
      <c r="G15" s="8" t="str">
        <f t="shared" si="0"/>
        <v>AGOTADO</v>
      </c>
      <c r="H15" s="9" t="s">
        <v>39</v>
      </c>
    </row>
    <row r="16" spans="1:12" s="2" customFormat="1" ht="12.75" x14ac:dyDescent="0.25">
      <c r="A16" s="10" t="s">
        <v>40</v>
      </c>
      <c r="B16" s="2" t="s">
        <v>11</v>
      </c>
      <c r="C16" s="2" t="s">
        <v>12</v>
      </c>
      <c r="D16" s="5">
        <v>130000</v>
      </c>
      <c r="E16" s="6">
        <v>1</v>
      </c>
      <c r="F16" s="7" t="s">
        <v>13</v>
      </c>
      <c r="G16" s="8" t="str">
        <f t="shared" si="0"/>
        <v>Últimas unidades</v>
      </c>
      <c r="H16" s="9" t="s">
        <v>41</v>
      </c>
      <c r="L16" s="18"/>
    </row>
    <row r="17" spans="1:8" s="2" customFormat="1" ht="12.75" x14ac:dyDescent="0.25">
      <c r="A17" s="3" t="s">
        <v>42</v>
      </c>
      <c r="B17" s="4" t="s">
        <v>11</v>
      </c>
      <c r="C17" s="4" t="s">
        <v>12</v>
      </c>
      <c r="D17" s="5">
        <v>200000</v>
      </c>
      <c r="E17" s="6">
        <v>1</v>
      </c>
      <c r="F17" s="7" t="s">
        <v>13</v>
      </c>
      <c r="G17" s="8" t="str">
        <f t="shared" si="0"/>
        <v>Últimas unidades</v>
      </c>
      <c r="H17" s="9" t="s">
        <v>43</v>
      </c>
    </row>
    <row r="18" spans="1:8" s="2" customFormat="1" ht="25.5" x14ac:dyDescent="0.25">
      <c r="A18" s="10" t="s">
        <v>44</v>
      </c>
      <c r="B18" s="2" t="s">
        <v>22</v>
      </c>
      <c r="C18" s="2" t="s">
        <v>32</v>
      </c>
      <c r="D18" s="5">
        <v>130000</v>
      </c>
      <c r="E18" s="6">
        <v>0</v>
      </c>
      <c r="F18" s="7" t="s">
        <v>13</v>
      </c>
      <c r="G18" s="8" t="str">
        <f t="shared" si="0"/>
        <v>AGOTADO</v>
      </c>
      <c r="H18" s="9" t="s">
        <v>45</v>
      </c>
    </row>
    <row r="19" spans="1:8" s="2" customFormat="1" ht="12.75" x14ac:dyDescent="0.25">
      <c r="A19" s="3" t="s">
        <v>46</v>
      </c>
      <c r="B19" s="4" t="s">
        <v>22</v>
      </c>
      <c r="C19" s="4" t="s">
        <v>12</v>
      </c>
      <c r="D19" s="5">
        <v>120000</v>
      </c>
      <c r="E19" s="6">
        <v>4</v>
      </c>
      <c r="F19" s="7" t="s">
        <v>13</v>
      </c>
      <c r="G19" s="8" t="str">
        <f t="shared" si="0"/>
        <v>Últimas unidades</v>
      </c>
      <c r="H19" s="9" t="s">
        <v>47</v>
      </c>
    </row>
    <row r="20" spans="1:8" s="2" customFormat="1" ht="12.75" x14ac:dyDescent="0.25">
      <c r="A20" s="10" t="s">
        <v>48</v>
      </c>
      <c r="B20" s="2" t="s">
        <v>22</v>
      </c>
      <c r="C20" s="2" t="s">
        <v>12</v>
      </c>
      <c r="D20" s="5">
        <v>110000</v>
      </c>
      <c r="E20" s="6">
        <v>2</v>
      </c>
      <c r="F20" s="7" t="s">
        <v>13</v>
      </c>
      <c r="G20" s="8" t="str">
        <f t="shared" si="0"/>
        <v>Últimas unidades</v>
      </c>
      <c r="H20" s="9" t="s">
        <v>49</v>
      </c>
    </row>
    <row r="21" spans="1:8" s="2" customFormat="1" ht="12.75" x14ac:dyDescent="0.25">
      <c r="A21" s="3" t="s">
        <v>50</v>
      </c>
      <c r="B21" s="4" t="s">
        <v>51</v>
      </c>
      <c r="C21" s="4" t="s">
        <v>32</v>
      </c>
      <c r="D21" s="5">
        <v>120000</v>
      </c>
      <c r="E21" s="6">
        <v>0</v>
      </c>
      <c r="F21" s="7" t="s">
        <v>13</v>
      </c>
      <c r="G21" s="8" t="str">
        <f t="shared" si="0"/>
        <v>AGOTADO</v>
      </c>
      <c r="H21" s="9" t="s">
        <v>52</v>
      </c>
    </row>
    <row r="22" spans="1:8" s="2" customFormat="1" ht="12.75" x14ac:dyDescent="0.25">
      <c r="A22" s="10" t="s">
        <v>53</v>
      </c>
      <c r="B22" s="2" t="s">
        <v>16</v>
      </c>
      <c r="C22" s="2" t="s">
        <v>12</v>
      </c>
      <c r="D22" s="5">
        <v>120000</v>
      </c>
      <c r="E22" s="6">
        <v>0</v>
      </c>
      <c r="F22" s="7" t="s">
        <v>13</v>
      </c>
      <c r="G22" s="8" t="str">
        <f t="shared" si="0"/>
        <v>AGOTADO</v>
      </c>
      <c r="H22" s="9" t="s">
        <v>54</v>
      </c>
    </row>
    <row r="23" spans="1:8" s="2" customFormat="1" ht="12.75" x14ac:dyDescent="0.25">
      <c r="A23" s="3" t="s">
        <v>55</v>
      </c>
      <c r="B23" s="4" t="s">
        <v>56</v>
      </c>
      <c r="C23" s="4" t="s">
        <v>32</v>
      </c>
      <c r="D23" s="5">
        <v>140000</v>
      </c>
      <c r="E23" s="6">
        <v>2</v>
      </c>
      <c r="F23" s="7" t="s">
        <v>13</v>
      </c>
      <c r="G23" s="8" t="str">
        <f t="shared" si="0"/>
        <v>Últimas unidades</v>
      </c>
      <c r="H23" s="9" t="s">
        <v>57</v>
      </c>
    </row>
    <row r="24" spans="1:8" s="2" customFormat="1" ht="25.5" x14ac:dyDescent="0.25">
      <c r="A24" s="10" t="s">
        <v>58</v>
      </c>
      <c r="B24" s="2" t="s">
        <v>59</v>
      </c>
      <c r="C24" s="2" t="s">
        <v>32</v>
      </c>
      <c r="D24" s="5">
        <v>130000</v>
      </c>
      <c r="E24" s="6">
        <v>1</v>
      </c>
      <c r="F24" s="7" t="s">
        <v>13</v>
      </c>
      <c r="G24" s="8" t="str">
        <f t="shared" si="0"/>
        <v>Últimas unidades</v>
      </c>
      <c r="H24" s="9" t="s">
        <v>60</v>
      </c>
    </row>
    <row r="25" spans="1:8" s="2" customFormat="1" ht="12.75" x14ac:dyDescent="0.25">
      <c r="A25" s="3" t="s">
        <v>61</v>
      </c>
      <c r="B25" s="4" t="s">
        <v>22</v>
      </c>
      <c r="C25" s="4" t="s">
        <v>12</v>
      </c>
      <c r="D25" s="5">
        <v>130000</v>
      </c>
      <c r="E25" s="6">
        <v>1</v>
      </c>
      <c r="F25" s="7" t="s">
        <v>13</v>
      </c>
      <c r="G25" s="8" t="str">
        <f t="shared" si="0"/>
        <v>Últimas unidades</v>
      </c>
      <c r="H25" s="9" t="s">
        <v>62</v>
      </c>
    </row>
    <row r="26" spans="1:8" s="2" customFormat="1" ht="12.75" x14ac:dyDescent="0.25">
      <c r="A26" s="10" t="s">
        <v>63</v>
      </c>
      <c r="B26" s="2" t="s">
        <v>64</v>
      </c>
      <c r="C26" s="2" t="s">
        <v>32</v>
      </c>
      <c r="D26" s="5">
        <v>140000</v>
      </c>
      <c r="E26" s="6">
        <v>3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56</v>
      </c>
      <c r="C27" s="4" t="s">
        <v>32</v>
      </c>
      <c r="D27" s="5">
        <v>130000</v>
      </c>
      <c r="E27" s="6">
        <v>1</v>
      </c>
      <c r="F27" s="7" t="s">
        <v>13</v>
      </c>
      <c r="G27" s="8" t="str">
        <f t="shared" si="0"/>
        <v>Últimas unidades</v>
      </c>
      <c r="H27" s="9" t="s">
        <v>67</v>
      </c>
    </row>
    <row r="28" spans="1:8" s="2" customFormat="1" ht="25.5" x14ac:dyDescent="0.25">
      <c r="A28" s="10" t="s">
        <v>68</v>
      </c>
      <c r="B28" s="2" t="s">
        <v>69</v>
      </c>
      <c r="C28" s="2" t="s">
        <v>32</v>
      </c>
      <c r="D28" s="5">
        <v>120000</v>
      </c>
      <c r="E28" s="6">
        <v>0</v>
      </c>
      <c r="F28" s="7" t="s">
        <v>13</v>
      </c>
      <c r="G28" s="8" t="str">
        <f t="shared" si="0"/>
        <v>AGOTADO</v>
      </c>
      <c r="H28" s="9" t="s">
        <v>70</v>
      </c>
    </row>
    <row r="29" spans="1:8" s="2" customFormat="1" ht="12.75" x14ac:dyDescent="0.25">
      <c r="A29" s="3" t="s">
        <v>71</v>
      </c>
      <c r="B29" s="4" t="s">
        <v>11</v>
      </c>
      <c r="C29" s="4" t="s">
        <v>12</v>
      </c>
      <c r="D29" s="5">
        <v>140000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72</v>
      </c>
    </row>
    <row r="30" spans="1:8" s="2" customFormat="1" ht="12.75" x14ac:dyDescent="0.25">
      <c r="A30" s="10" t="s">
        <v>73</v>
      </c>
      <c r="B30" s="2" t="s">
        <v>74</v>
      </c>
      <c r="C30" s="2" t="s">
        <v>12</v>
      </c>
      <c r="D30" s="5">
        <v>160000</v>
      </c>
      <c r="E30" s="6">
        <v>2</v>
      </c>
      <c r="F30" s="7" t="s">
        <v>13</v>
      </c>
      <c r="G30" s="8" t="str">
        <f t="shared" si="0"/>
        <v>Últimas unidades</v>
      </c>
      <c r="H30" s="9" t="s">
        <v>75</v>
      </c>
    </row>
    <row r="31" spans="1:8" s="2" customFormat="1" ht="12.75" x14ac:dyDescent="0.25">
      <c r="A31" s="3" t="s">
        <v>76</v>
      </c>
      <c r="B31" s="4" t="s">
        <v>22</v>
      </c>
      <c r="C31" s="4" t="s">
        <v>19</v>
      </c>
      <c r="D31" s="5">
        <v>60000</v>
      </c>
      <c r="E31" s="6">
        <v>10</v>
      </c>
      <c r="F31" s="7" t="s">
        <v>13</v>
      </c>
      <c r="G31" s="8" t="str">
        <f t="shared" si="0"/>
        <v>Disponible</v>
      </c>
      <c r="H31" s="9" t="s">
        <v>77</v>
      </c>
    </row>
    <row r="32" spans="1:8" s="2" customFormat="1" ht="12.75" x14ac:dyDescent="0.25">
      <c r="A32" s="10" t="s">
        <v>78</v>
      </c>
      <c r="B32" s="2" t="s">
        <v>22</v>
      </c>
      <c r="C32" s="2" t="s">
        <v>32</v>
      </c>
      <c r="D32" s="5">
        <v>160000</v>
      </c>
      <c r="E32" s="6">
        <v>1</v>
      </c>
      <c r="F32" s="7" t="s">
        <v>13</v>
      </c>
      <c r="G32" s="8" t="str">
        <f t="shared" si="0"/>
        <v>Últimas unidades</v>
      </c>
      <c r="H32" s="9" t="s">
        <v>79</v>
      </c>
    </row>
  </sheetData>
  <autoFilter ref="A4:G32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2" xr:uid="{00000000-0002-0000-0000-000000000000}">
      <formula1>0</formula1>
    </dataValidation>
    <dataValidation type="list" showErrorMessage="1" errorTitle="Valor inválido" error="Escribe SI o NO." sqref="F5:F32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1" t="s">
        <v>80</v>
      </c>
      <c r="B1" s="21"/>
    </row>
    <row r="3" spans="1:2" x14ac:dyDescent="0.25">
      <c r="A3" s="11" t="s">
        <v>81</v>
      </c>
      <c r="B3" s="12">
        <f>COUNTA(Inventario!$A$5:$A$32)</f>
        <v>28</v>
      </c>
    </row>
    <row r="4" spans="1:2" x14ac:dyDescent="0.25">
      <c r="A4" s="11" t="s">
        <v>82</v>
      </c>
      <c r="B4" s="12">
        <f>COUNTIF(Inventario!$G$5:$G$32,"Disponible")</f>
        <v>1</v>
      </c>
    </row>
    <row r="5" spans="1:2" x14ac:dyDescent="0.25">
      <c r="A5" s="11" t="s">
        <v>83</v>
      </c>
      <c r="B5" s="12">
        <f>COUNTIF(Inventario!$G$5:$G$32,"Últimas unidades")</f>
        <v>18</v>
      </c>
    </row>
    <row r="6" spans="1:2" x14ac:dyDescent="0.25">
      <c r="A6" s="11" t="s">
        <v>84</v>
      </c>
      <c r="B6" s="12">
        <f>COUNTIF(Inventario!$G$5:$G$32,"AGOTADO")</f>
        <v>9</v>
      </c>
    </row>
    <row r="7" spans="1:2" x14ac:dyDescent="0.25">
      <c r="A7" s="11" t="s">
        <v>85</v>
      </c>
      <c r="B7" s="12">
        <f>COUNTIF(Inventario!$G$5:$G$32,"Oculto")</f>
        <v>0</v>
      </c>
    </row>
    <row r="8" spans="1:2" x14ac:dyDescent="0.25">
      <c r="A8" s="11" t="s">
        <v>86</v>
      </c>
      <c r="B8" s="12">
        <f>SUM(Inventario!$E$5:$E$32)</f>
        <v>38</v>
      </c>
    </row>
    <row r="9" spans="1:2" x14ac:dyDescent="0.25">
      <c r="A9" s="11" t="s">
        <v>87</v>
      </c>
      <c r="B9" s="13">
        <f>SUMPRODUCT(Inventario!$D$5:$D$32,Inventario!$E$5:$E$32)</f>
        <v>4450000</v>
      </c>
    </row>
    <row r="11" spans="1:2" x14ac:dyDescent="0.25">
      <c r="A11" s="14" t="s">
        <v>88</v>
      </c>
    </row>
    <row r="13" spans="1:2" x14ac:dyDescent="0.25">
      <c r="A13" s="15" t="s">
        <v>89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90</v>
      </c>
    </row>
    <row r="2" spans="1:1" x14ac:dyDescent="0.25">
      <c r="A2" s="10" t="s">
        <v>91</v>
      </c>
    </row>
    <row r="3" spans="1:1" x14ac:dyDescent="0.25">
      <c r="A3" s="10" t="s">
        <v>92</v>
      </c>
    </row>
    <row r="4" spans="1:1" x14ac:dyDescent="0.25">
      <c r="A4" s="10" t="s">
        <v>93</v>
      </c>
    </row>
    <row r="5" spans="1:1" x14ac:dyDescent="0.25">
      <c r="A5" s="10" t="s">
        <v>94</v>
      </c>
    </row>
    <row r="6" spans="1:1" x14ac:dyDescent="0.25">
      <c r="A6" s="10" t="s">
        <v>95</v>
      </c>
    </row>
    <row r="7" spans="1:1" x14ac:dyDescent="0.25">
      <c r="A7" s="10" t="s">
        <v>96</v>
      </c>
    </row>
    <row r="8" spans="1:1" x14ac:dyDescent="0.25">
      <c r="A8" s="10" t="s">
        <v>91</v>
      </c>
    </row>
    <row r="9" spans="1:1" x14ac:dyDescent="0.25">
      <c r="A9" s="17" t="s">
        <v>97</v>
      </c>
    </row>
    <row r="10" spans="1:1" x14ac:dyDescent="0.25">
      <c r="A10" s="10" t="s">
        <v>98</v>
      </c>
    </row>
    <row r="11" spans="1:1" x14ac:dyDescent="0.25">
      <c r="A11" s="10" t="s">
        <v>99</v>
      </c>
    </row>
    <row r="12" spans="1:1" x14ac:dyDescent="0.25">
      <c r="A12" s="10" t="s">
        <v>100</v>
      </c>
    </row>
    <row r="13" spans="1:1" x14ac:dyDescent="0.25">
      <c r="A13" s="10" t="s">
        <v>101</v>
      </c>
    </row>
    <row r="14" spans="1:1" x14ac:dyDescent="0.25">
      <c r="A14" s="10" t="s">
        <v>102</v>
      </c>
    </row>
    <row r="15" spans="1:1" x14ac:dyDescent="0.25">
      <c r="A15" s="10" t="s">
        <v>91</v>
      </c>
    </row>
    <row r="16" spans="1:1" x14ac:dyDescent="0.25">
      <c r="A16" s="17" t="s">
        <v>103</v>
      </c>
    </row>
    <row r="17" spans="1:1" x14ac:dyDescent="0.25">
      <c r="A17" s="10" t="s">
        <v>104</v>
      </c>
    </row>
    <row r="18" spans="1:1" x14ac:dyDescent="0.25">
      <c r="A18" s="10" t="s">
        <v>105</v>
      </c>
    </row>
    <row r="19" spans="1:1" x14ac:dyDescent="0.25">
      <c r="A19" s="10" t="s">
        <v>106</v>
      </c>
    </row>
    <row r="20" spans="1:1" x14ac:dyDescent="0.25">
      <c r="A20" s="10" t="s">
        <v>107</v>
      </c>
    </row>
    <row r="21" spans="1:1" x14ac:dyDescent="0.25">
      <c r="A21" s="10" t="s">
        <v>91</v>
      </c>
    </row>
    <row r="22" spans="1:1" x14ac:dyDescent="0.25">
      <c r="A22" s="17" t="s">
        <v>108</v>
      </c>
    </row>
    <row r="23" spans="1:1" x14ac:dyDescent="0.25">
      <c r="A23" s="10" t="s">
        <v>109</v>
      </c>
    </row>
    <row r="24" spans="1:1" x14ac:dyDescent="0.25">
      <c r="A24" s="10" t="s">
        <v>110</v>
      </c>
    </row>
    <row r="25" spans="1:1" x14ac:dyDescent="0.25">
      <c r="A25" s="10" t="s">
        <v>111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2026-09-02T01:37:30Z</dcterms:created>
  <dcterms:modified xsi:type="dcterms:W3CDTF">2026-09-15T01:28:23Z</dcterms:modified>
  <cp:category/>
</cp:coreProperties>
</file>