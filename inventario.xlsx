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3F2375B8-EDF5-492D-AC6D-4C8D76945E0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B5" i="2" s="1"/>
  <c r="G5" i="1"/>
  <c r="B4" i="2" s="1"/>
  <c r="B6" i="2" l="1"/>
  <c r="B7" i="2"/>
</calcChain>
</file>

<file path=xl/sharedStrings.xml><?xml version="1.0" encoding="utf-8"?>
<sst xmlns="http://schemas.openxmlformats.org/spreadsheetml/2006/main" count="185" uniqueCount="112">
  <si>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</si>
  <si>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</si>
  <si>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</si>
  <si>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</si>
  <si>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</si>
  <si>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</si>
  <si>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</si>
  <si>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</si>
  <si>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</si>
  <si>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</si>
  <si>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</si>
  <si>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</si>
  <si>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</si>
  <si>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</si>
  <si>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</si>
  <si>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</si>
  <si>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</si>
  <si>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</si>
  <si>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</si>
  <si>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</si>
  <si>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</si>
  <si>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</si>
  <si>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</si>
  <si>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</si>
  <si>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</si>
  <si>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</si>
  <si>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1000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</si>
  <si>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</si>
  <si>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</si>
  <si>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</si>
  <si>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</si>
  <si>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</si>
  <si>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</si>
  <si>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</si>
  <si>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</si>
  <si>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</si>
  <si>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</si>
  <si>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</si>
  <si>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</si>
  <si>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</si>
  <si>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</si>
  <si>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</si>
  <si>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</si>
  <si>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</si>
  <si>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</si>
  <si>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</si>
  <si>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</si>
  <si>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</si>
  <si>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</si>
  <si>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</si>
  <si>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</si>
  <si>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</si>
  <si>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</si>
  <si>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</si>
  <si>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</si>
  <si>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</si>
  <si>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</si>
  <si>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</si>
  <si>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</si>
  <si>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</si>
  <si>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</si>
  <si>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</si>
  <si>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</si>
  <si>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</si>
  <si>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</si>
  <si>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</si>
  <si>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</si>
  <si>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</si>
  <si>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</si>
  <si>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</si>
  <si>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</si>
  <si>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</si>
  <si>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</si>
  <si>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</si>
  <si>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</si>
  <si>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</si>
  <si>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</si>
  <si>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</si>
  <si>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</si>
  <si>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</si>
  <si>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</si>
  <si>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</si>
  <si>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</si>
  <si>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</si>
  <si>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</si>
  <si>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</si>
  <si>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</si>
  <si>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</si>
  <si>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</si>
  <si>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11/8/2026, 1:14:25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</si>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</sst>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2"/>
  <sheetViews>
    <sheetView tabSelected="1" workbookViewId="0">
      <pane xSplit="1" ySplit="4" topLeftCell="B24" activePane="bottomRight" state="frozen"/>
      <selection pane="topRight"/>
      <selection pane="bottomLeft"/>
      <selection pane="bottomRight" activeCell="E34" sqref="E34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0</v>
      </c>
      <c r="F5" s="7" t="s">
        <v>13</v>
      </c>
      <c r="G5" s="8" t="str">
        <f t="shared" ref="G5:G32" si="0">IF(F5="NO","Oculto",IF(E5&lt;=0,"AGOTADO",IF(E5&lt;=5,"Últimas unidades","Disponible")))</f>
        <v>AGOTADO</v>
      </c>
      <c r="H5" s="9" t="s">
        <v>14</v>
      </c>
    </row>
    <row r="6" spans="1:8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2</v>
      </c>
      <c r="F6" s="7" t="s">
        <v>13</v>
      </c>
      <c r="G6" s="8" t="str">
        <f t="shared" si="0"/>
        <v>Últimas unidades</v>
      </c>
      <c r="H6" s="9" t="s">
        <v>17</v>
      </c>
    </row>
    <row r="7" spans="1:8" s="2" customFormat="1" ht="12.75" x14ac:dyDescent="0.25">
      <c r="A7" s="3" t="s">
        <v>18</v>
      </c>
      <c r="B7" s="4" t="s">
        <v>16</v>
      </c>
      <c r="C7" s="4" t="s">
        <v>19</v>
      </c>
      <c r="D7" s="5">
        <v>120000</v>
      </c>
      <c r="E7" s="6">
        <v>0</v>
      </c>
      <c r="F7" s="7" t="s">
        <v>13</v>
      </c>
      <c r="G7" s="8" t="str">
        <f t="shared" si="0"/>
        <v>AGOTADO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0</v>
      </c>
      <c r="F8" s="7" t="s">
        <v>13</v>
      </c>
      <c r="G8" s="8" t="str">
        <f t="shared" si="0"/>
        <v>AGOTADO</v>
      </c>
      <c r="H8" s="9" t="s">
        <v>23</v>
      </c>
    </row>
    <row r="9" spans="1:8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0</v>
      </c>
      <c r="F9" s="7" t="s">
        <v>13</v>
      </c>
      <c r="G9" s="8" t="str">
        <f t="shared" si="0"/>
        <v>AGOTADO</v>
      </c>
      <c r="H9" s="9" t="s">
        <v>25</v>
      </c>
    </row>
    <row r="10" spans="1:8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0</v>
      </c>
      <c r="F10" s="7" t="s">
        <v>13</v>
      </c>
      <c r="G10" s="8" t="str">
        <f t="shared" si="0"/>
        <v>AGOTADO</v>
      </c>
      <c r="H10" s="9" t="s">
        <v>27</v>
      </c>
    </row>
    <row r="11" spans="1:8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0</v>
      </c>
      <c r="F11" s="7" t="s">
        <v>13</v>
      </c>
      <c r="G11" s="8" t="str">
        <f t="shared" si="0"/>
        <v>AGOTADO</v>
      </c>
      <c r="H11" s="9" t="s">
        <v>29</v>
      </c>
    </row>
    <row r="12" spans="1:8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0</v>
      </c>
      <c r="F12" s="7" t="s">
        <v>13</v>
      </c>
      <c r="G12" s="8" t="str">
        <f t="shared" si="0"/>
        <v>AGOTADO</v>
      </c>
      <c r="H12" s="9" t="s">
        <v>33</v>
      </c>
    </row>
    <row r="13" spans="1:8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0</v>
      </c>
      <c r="F13" s="7" t="s">
        <v>13</v>
      </c>
      <c r="G13" s="8" t="str">
        <f t="shared" si="0"/>
        <v>AGOTADO</v>
      </c>
      <c r="H13" s="9" t="s">
        <v>35</v>
      </c>
    </row>
    <row r="14" spans="1:8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0</v>
      </c>
      <c r="F14" s="7" t="s">
        <v>13</v>
      </c>
      <c r="G14" s="8" t="str">
        <f t="shared" si="0"/>
        <v>AGOTADO</v>
      </c>
      <c r="H14" s="9" t="s">
        <v>37</v>
      </c>
    </row>
    <row r="15" spans="1:8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0</v>
      </c>
      <c r="F15" s="7" t="s">
        <v>13</v>
      </c>
      <c r="G15" s="8" t="str">
        <f t="shared" si="0"/>
        <v>AGOTADO</v>
      </c>
      <c r="H15" s="9" t="s">
        <v>39</v>
      </c>
    </row>
    <row r="16" spans="1:8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0</v>
      </c>
      <c r="F16" s="7" t="s">
        <v>13</v>
      </c>
      <c r="G16" s="8" t="str">
        <f t="shared" si="0"/>
        <v>AGOTADO</v>
      </c>
      <c r="H16" s="9" t="s">
        <v>41</v>
      </c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0</v>
      </c>
      <c r="F17" s="7" t="s">
        <v>13</v>
      </c>
      <c r="G17" s="8" t="str">
        <f t="shared" si="0"/>
        <v>AGOTADO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0</v>
      </c>
      <c r="F18" s="7" t="s">
        <v>13</v>
      </c>
      <c r="G18" s="8" t="str">
        <f t="shared" si="0"/>
        <v>AGOTADO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0</v>
      </c>
      <c r="F19" s="7" t="s">
        <v>13</v>
      </c>
      <c r="G19" s="8" t="str">
        <f t="shared" si="0"/>
        <v>AGOTADO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0</v>
      </c>
      <c r="F20" s="7" t="s">
        <v>13</v>
      </c>
      <c r="G20" s="8" t="str">
        <f t="shared" si="0"/>
        <v>AGOTADO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0</v>
      </c>
      <c r="F21" s="7" t="s">
        <v>13</v>
      </c>
      <c r="G21" s="8" t="str">
        <f t="shared" si="0"/>
        <v>AGOTADO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0</v>
      </c>
      <c r="F22" s="7" t="s">
        <v>13</v>
      </c>
      <c r="G22" s="8" t="str">
        <f t="shared" si="0"/>
        <v>AGOTADO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0</v>
      </c>
      <c r="F23" s="7" t="s">
        <v>13</v>
      </c>
      <c r="G23" s="8" t="str">
        <f t="shared" si="0"/>
        <v>AGOTADO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0</v>
      </c>
      <c r="F24" s="7" t="s">
        <v>13</v>
      </c>
      <c r="G24" s="8" t="str">
        <f t="shared" si="0"/>
        <v>AGOTADO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0</v>
      </c>
      <c r="F25" s="7" t="s">
        <v>13</v>
      </c>
      <c r="G25" s="8" t="str">
        <f t="shared" si="0"/>
        <v>AGOTADO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3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1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0</v>
      </c>
      <c r="F28" s="7" t="s">
        <v>13</v>
      </c>
      <c r="G28" s="8" t="str">
        <f t="shared" si="0"/>
        <v>AGOTADO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2</v>
      </c>
      <c r="F30" s="7" t="s">
        <v>13</v>
      </c>
      <c r="G30" s="8" t="str">
        <f t="shared" si="0"/>
        <v>Últimas unidades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  <row r="32" spans="1:8" s="2" customFormat="1" ht="12.75" x14ac:dyDescent="0.25">
      <c r="A32" s="10" t="s">
        <v>78</v>
      </c>
      <c r="B32" s="2" t="s">
        <v>22</v>
      </c>
      <c r="C32" s="2" t="s">
        <v>32</v>
      </c>
      <c r="D32" s="5">
        <v>160000</v>
      </c>
      <c r="E32" s="6">
        <v>2</v>
      </c>
      <c r="F32" s="7" t="s">
        <v>13</v>
      </c>
      <c r="G32" s="8" t="str">
        <f t="shared" si="0"/>
        <v>Últimas unidades</v>
      </c>
      <c r="H32" s="9" t="s">
        <v>79</v>
      </c>
    </row>
  </sheetData>
  <autoFilter ref="A4:G32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2" xr:uid="{00000000-0002-0000-0000-000000000000}">
      <formula1>0</formula1>
    </dataValidation>
    <dataValidation type="list" showErrorMessage="1" errorTitle="Valor inválido" error="Escribe SI o NO." sqref="F5:F32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80</v>
      </c>
      <c r="B1" s="20"/>
    </row>
    <row r="3" spans="1:2" x14ac:dyDescent="0.25">
      <c r="A3" s="11" t="s">
        <v>81</v>
      </c>
      <c r="B3" s="12">
        <f>COUNTA(Inventario!$A$5:$A$32)</f>
        <v>28</v>
      </c>
    </row>
    <row r="4" spans="1:2" x14ac:dyDescent="0.25">
      <c r="A4" s="11" t="s">
        <v>82</v>
      </c>
      <c r="B4" s="12">
        <f>COUNTIF(Inventario!$G$5:$G$32,"Disponible")</f>
        <v>1</v>
      </c>
    </row>
    <row r="5" spans="1:2" x14ac:dyDescent="0.25">
      <c r="A5" s="11" t="s">
        <v>83</v>
      </c>
      <c r="B5" s="12">
        <f>COUNTIF(Inventario!$G$5:$G$32,"Últimas unidades")</f>
        <v>6</v>
      </c>
    </row>
    <row r="6" spans="1:2" x14ac:dyDescent="0.25">
      <c r="A6" s="11" t="s">
        <v>84</v>
      </c>
      <c r="B6" s="12">
        <f>COUNTIF(Inventario!$G$5:$G$32,"AGOTADO")</f>
        <v>21</v>
      </c>
    </row>
    <row r="7" spans="1:2" x14ac:dyDescent="0.25">
      <c r="A7" s="11" t="s">
        <v>85</v>
      </c>
      <c r="B7" s="12">
        <f>COUNTIF(Inventario!$G$5:$G$32,"Oculto")</f>
        <v>0</v>
      </c>
    </row>
    <row r="8" spans="1:2" x14ac:dyDescent="0.25">
      <c r="A8" s="11" t="s">
        <v>86</v>
      </c>
      <c r="B8" s="12">
        <f>SUM(Inventario!$E$5:$E$32)</f>
        <v>21</v>
      </c>
    </row>
    <row r="9" spans="1:2" x14ac:dyDescent="0.25">
      <c r="A9" s="11" t="s">
        <v>87</v>
      </c>
      <c r="B9" s="13">
        <f>SUMPRODUCT(Inventario!$D$5:$D$32,Inventario!$E$5:$E$32)</f>
        <v>2190000</v>
      </c>
    </row>
    <row r="11" spans="1:2" x14ac:dyDescent="0.25">
      <c r="A11" s="14" t="s">
        <v>88</v>
      </c>
    </row>
    <row r="13" spans="1:2" x14ac:dyDescent="0.25">
      <c r="A13" s="15" t="s">
        <v>89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90</v>
      </c>
    </row>
    <row r="2" spans="1:1" x14ac:dyDescent="0.25">
      <c r="A2" s="10" t="s">
        <v>91</v>
      </c>
    </row>
    <row r="3" spans="1:1" x14ac:dyDescent="0.25">
      <c r="A3" s="10" t="s">
        <v>92</v>
      </c>
    </row>
    <row r="4" spans="1:1" x14ac:dyDescent="0.25">
      <c r="A4" s="10" t="s">
        <v>93</v>
      </c>
    </row>
    <row r="5" spans="1:1" x14ac:dyDescent="0.25">
      <c r="A5" s="10" t="s">
        <v>94</v>
      </c>
    </row>
    <row r="6" spans="1:1" x14ac:dyDescent="0.25">
      <c r="A6" s="10" t="s">
        <v>95</v>
      </c>
    </row>
    <row r="7" spans="1:1" x14ac:dyDescent="0.25">
      <c r="A7" s="10" t="s">
        <v>96</v>
      </c>
    </row>
    <row r="8" spans="1:1" x14ac:dyDescent="0.25">
      <c r="A8" s="10" t="s">
        <v>91</v>
      </c>
    </row>
    <row r="9" spans="1:1" x14ac:dyDescent="0.25">
      <c r="A9" s="17" t="s">
        <v>97</v>
      </c>
    </row>
    <row r="10" spans="1:1" x14ac:dyDescent="0.25">
      <c r="A10" s="10" t="s">
        <v>98</v>
      </c>
    </row>
    <row r="11" spans="1:1" x14ac:dyDescent="0.25">
      <c r="A11" s="10" t="s">
        <v>99</v>
      </c>
    </row>
    <row r="12" spans="1:1" x14ac:dyDescent="0.25">
      <c r="A12" s="10" t="s">
        <v>100</v>
      </c>
    </row>
    <row r="13" spans="1:1" x14ac:dyDescent="0.25">
      <c r="A13" s="10" t="s">
        <v>101</v>
      </c>
    </row>
    <row r="14" spans="1:1" x14ac:dyDescent="0.25">
      <c r="A14" s="10" t="s">
        <v>102</v>
      </c>
    </row>
    <row r="15" spans="1:1" x14ac:dyDescent="0.25">
      <c r="A15" s="10" t="s">
        <v>91</v>
      </c>
    </row>
    <row r="16" spans="1:1" x14ac:dyDescent="0.25">
      <c r="A16" s="17" t="s">
        <v>103</v>
      </c>
    </row>
    <row r="17" spans="1:1" x14ac:dyDescent="0.25">
      <c r="A17" s="10" t="s">
        <v>104</v>
      </c>
    </row>
    <row r="18" spans="1:1" x14ac:dyDescent="0.25">
      <c r="A18" s="10" t="s">
        <v>105</v>
      </c>
    </row>
    <row r="19" spans="1:1" x14ac:dyDescent="0.25">
      <c r="A19" s="10" t="s">
        <v>106</v>
      </c>
    </row>
    <row r="20" spans="1:1" x14ac:dyDescent="0.25">
      <c r="A20" s="10" t="s">
        <v>107</v>
      </c>
    </row>
    <row r="21" spans="1:1" x14ac:dyDescent="0.25">
      <c r="A21" s="10" t="s">
        <v>91</v>
      </c>
    </row>
    <row r="22" spans="1:1" x14ac:dyDescent="0.25">
      <c r="A22" s="17" t="s">
        <v>108</v>
      </c>
    </row>
    <row r="23" spans="1:1" x14ac:dyDescent="0.25">
      <c r="A23" s="10" t="s">
        <v>109</v>
      </c>
    </row>
    <row r="24" spans="1:1" x14ac:dyDescent="0.25">
      <c r="A24" s="10" t="s">
        <v>110</v>
      </c>
    </row>
    <row r="25" spans="1:1" x14ac:dyDescent="0.25">
      <c r="A25" s="10" t="s">
        <v>111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2026-08-11T18:14:25Z</dcterms:created>
  <dcterms:modified xsi:type="dcterms:W3CDTF">2026-08-19T19:08:39Z</dcterms:modified>
  <cp:category/>
</cp:coreProperties>
</file>